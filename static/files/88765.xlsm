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20" codeName="{65C56A31-55D7-CBBD-CD37-7C71EA340FA4}"/>
  <workbookPr codeName="ThisWorkbook" defaultThemeVersion="124226"/>
  <mc:AlternateContent xmlns:mc="http://schemas.openxmlformats.org/markup-compatibility/2006">
    <mc:Choice Requires="x15">
      <x15ac:absPath xmlns:x15ac="http://schemas.microsoft.com/office/spreadsheetml/2010/11/ac" url="/Users/jameshotchkiss/Documents/dev/calibration_tracker_tool/data/"/>
    </mc:Choice>
  </mc:AlternateContent>
  <xr:revisionPtr revIDLastSave="0" documentId="13_ncr:1_{4C3739B6-FD5D-E848-BDBB-3806CA309C8C}" xr6:coauthVersionLast="47" xr6:coauthVersionMax="47" xr10:uidLastSave="{00000000-0000-0000-0000-000000000000}"/>
  <workbookProtection workbookAlgorithmName="SHA-512" workbookHashValue="zgrEO/W7V8FIhXLCbkx6HxlEFRhSvy5A4hbhgIu3IrktAn7JStXJyA69UKQ89bEr9Dh01TB5nhwbbTPIAkI64g==" workbookSaltValue="N9MjDZEdkOLssQmn4nfRTQ==" workbookSpinCount="100000" lockStructure="1"/>
  <bookViews>
    <workbookView xWindow="0" yWindow="680" windowWidth="28800" windowHeight="15840" tabRatio="800" xr2:uid="{00000000-000D-0000-FFFF-FFFF00000000}"/>
  </bookViews>
  <sheets>
    <sheet name="Calibration Assessment Form" sheetId="1" r:id="rId1"/>
    <sheet name="Cal Assessment Form (Guidance)" sheetId="5" r:id="rId2"/>
  </sheets>
  <externalReferences>
    <externalReference r:id="rId3"/>
  </externalReferences>
  <definedNames>
    <definedName name="CALIBRATION" localSheetId="1">'[1]Calibration Assessment Form'!$N$2:$N$3</definedName>
    <definedName name="CALIBRATION">'Calibration Assessment Form'!$I$2:$I$5</definedName>
    <definedName name="Calibration_Not_Required">'Calibration Assessment Form'!$K$2:$K$6</definedName>
    <definedName name="Calibration_Required">'Calibration Assessment Form'!$J$2:$J$7</definedName>
    <definedName name="Not_Applicable">'Calibration Assessment Form'!$L$2</definedName>
    <definedName name="_xlnm.Print_Area" localSheetId="0">'Calibration Assessment Form'!$B$1:$H$30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4" i="1" l="1" a="1"/>
  <c r="B24" i="1" s="1"/>
  <c r="B55" i="1" l="1"/>
  <c r="E19" i="1"/>
  <c r="E1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<sst xmlns="http://schemas.openxmlformats.org/spreadsheetml/2006/main" count="190" uniqueCount="161">
  <si>
    <t>CAL#</t>
  </si>
  <si>
    <t>REV</t>
  </si>
  <si>
    <t>FORM APPLICATION FOR</t>
  </si>
  <si>
    <t>CALIBRATION REQUIREMENTS</t>
  </si>
  <si>
    <t>R&amp;D</t>
  </si>
  <si>
    <t>IQC</t>
  </si>
  <si>
    <t>Other</t>
  </si>
  <si>
    <t>ADVANCED ENGINEERING</t>
  </si>
  <si>
    <t>Interval Determination</t>
  </si>
  <si>
    <t>CUST SERV</t>
  </si>
  <si>
    <t>CUTTERS LAB</t>
  </si>
  <si>
    <t>DOC CONTROL</t>
  </si>
  <si>
    <t>ENDOSUITE LAB</t>
  </si>
  <si>
    <t>ESG</t>
  </si>
  <si>
    <t>FACILITIES</t>
  </si>
  <si>
    <t>IMAGING LAB</t>
  </si>
  <si>
    <t>INSIDE REPAIR</t>
  </si>
  <si>
    <t>LAP/FLUID LAB</t>
  </si>
  <si>
    <t>LOANER</t>
  </si>
  <si>
    <t>LOANER/CR</t>
  </si>
  <si>
    <t>Equipment is (pass/fail) and if it fails, it will not accept a nonconforming unit and will reject a conforming device</t>
  </si>
  <si>
    <t>MACHINE SHOP</t>
  </si>
  <si>
    <t>OPS MACHINE SHOP</t>
  </si>
  <si>
    <t>Equipment is not used for acceptance testing, process monitoring, design verification and validation</t>
  </si>
  <si>
    <t>QE TECH</t>
  </si>
  <si>
    <t>Equipment does not make measurements or provide expected  output</t>
  </si>
  <si>
    <t>REPAIR/OEM</t>
  </si>
  <si>
    <t>REPAIR/SCOPES</t>
  </si>
  <si>
    <t>REPAIR/VIDEO</t>
  </si>
  <si>
    <t>RF LAB</t>
  </si>
  <si>
    <t>SPORTS MED</t>
  </si>
  <si>
    <t>TEST LAB</t>
  </si>
  <si>
    <t>VIDEO</t>
  </si>
  <si>
    <t>VIDEO ACCESSORIES</t>
  </si>
  <si>
    <t>VISUALATION LAB</t>
  </si>
  <si>
    <t>CALIBRATION ASSESSMENT FORM</t>
  </si>
  <si>
    <t>EQUIPMENT DESCRIPTION AND IDENTIFICATION</t>
  </si>
  <si>
    <t xml:space="preserve">*Serial # </t>
  </si>
  <si>
    <t>Location</t>
  </si>
  <si>
    <t>CALIBRATION INTERVAL</t>
  </si>
  <si>
    <t>6 Months</t>
  </si>
  <si>
    <t>12 Months</t>
  </si>
  <si>
    <t>24 Months</t>
  </si>
  <si>
    <t>36 Months</t>
  </si>
  <si>
    <t>Low (Twice a year)</t>
  </si>
  <si>
    <t xml:space="preserve">Use Frequency </t>
  </si>
  <si>
    <t>Frequently (Daily)</t>
  </si>
  <si>
    <t>Machine Shop</t>
  </si>
  <si>
    <t>Production</t>
  </si>
  <si>
    <t>Initial Calibration Assessment (Enter N/A below)</t>
  </si>
  <si>
    <t>Moderate (Monthly)</t>
  </si>
  <si>
    <t>CALIBRATION</t>
  </si>
  <si>
    <t xml:space="preserve">Yes </t>
  </si>
  <si>
    <t>No</t>
  </si>
  <si>
    <t>EQUIPMENT AREA</t>
  </si>
  <si>
    <t>Calibration_Required</t>
  </si>
  <si>
    <t>Calibration_Not_Required</t>
  </si>
  <si>
    <t>CALIBRATION_REQUIRED</t>
  </si>
  <si>
    <t>CALIBRATION_NOT_REQUIRED</t>
  </si>
  <si>
    <t>OUTSIDE REPAIR</t>
  </si>
  <si>
    <t>CALIBRATOIN ASSESSMENT FORM</t>
  </si>
  <si>
    <t xml:space="preserve">CALIBRATION INTERVAL </t>
  </si>
  <si>
    <t>GENERAL</t>
  </si>
  <si>
    <t xml:space="preserve">Manufacturer  </t>
  </si>
  <si>
    <t xml:space="preserve">Description  </t>
  </si>
  <si>
    <t xml:space="preserve"> Station  </t>
  </si>
  <si>
    <t xml:space="preserve">Stryker Part Number or Manufacturer Model  </t>
  </si>
  <si>
    <t xml:space="preserve">  Department </t>
  </si>
  <si>
    <t>Not_Applicable</t>
  </si>
  <si>
    <t>AGS</t>
  </si>
  <si>
    <t>VIVA</t>
  </si>
  <si>
    <t>Standard Equipment (Calibrate Per Manufacturing Recommendations), Enter N/A Below</t>
  </si>
  <si>
    <t>Equipment is pass/fail and if it fails it will not accept a nonconforming unit and will reject a conforming device</t>
  </si>
  <si>
    <t xml:space="preserve"> Preset Calibration (Enter specific calibration range with tolerances below)</t>
  </si>
  <si>
    <t>Ensure latest Excel file is being used - access SOP0008.01 on Agile to confirm or download latest version. All empty cells need to be filled, enter N/A for all not applicable areas.</t>
  </si>
  <si>
    <t>CAL Rev.</t>
  </si>
  <si>
    <t>Manufacturer:</t>
  </si>
  <si>
    <t xml:space="preserve"> For Stryker product; enter part number as indicated in the drawing.  For other equipment; enter model number as described by the manufacturer.</t>
  </si>
  <si>
    <t>Stryker Part Number or Manufacturer Model:</t>
  </si>
  <si>
    <t>Description:</t>
  </si>
  <si>
    <t>Equipment Calibration Range:</t>
  </si>
  <si>
    <r>
      <rPr>
        <b/>
        <sz val="10"/>
        <color rgb="FF000000"/>
        <rFont val="Arial"/>
        <family val="2"/>
      </rPr>
      <t xml:space="preserve"> </t>
    </r>
    <r>
      <rPr>
        <sz val="10"/>
        <color rgb="FF000000"/>
        <rFont val="Arial"/>
        <family val="2"/>
      </rPr>
      <t>For Stryker equipment, enter description as described in the drawing.  For other equipment, enter description as described by the manufacturer. (e.g. 1488 Camera Head, Digital Multimeter…).</t>
    </r>
  </si>
  <si>
    <t xml:space="preserve"> Enter the  appropriate location where the equipment is going to be use. Production includes all production units and service).</t>
  </si>
  <si>
    <t>Location:</t>
  </si>
  <si>
    <t>Department:</t>
  </si>
  <si>
    <t>Specific Station:</t>
  </si>
  <si>
    <t xml:space="preserve"> Select " Initial Calibration Assessment" from the drop list if this form is for new equipment assessment.</t>
  </si>
  <si>
    <t>Initial Calibration Assessment:</t>
  </si>
  <si>
    <t xml:space="preserve">Deactivate retired equipment: </t>
  </si>
  <si>
    <t>Deactivate lost equipment:</t>
  </si>
  <si>
    <t xml:space="preserve"> Select "Calibration Required" for equipment that requires calibration and select appropriate type of calibration from the dropdown list below.</t>
  </si>
  <si>
    <t xml:space="preserve"> Enter appropriate print or procedure that will be used to perform calibration. </t>
  </si>
  <si>
    <t>For Stryker product:</t>
  </si>
  <si>
    <t xml:space="preserve"> enter specific calibration range or calibration information.</t>
  </si>
  <si>
    <t xml:space="preserve"> Select " Calibration Not Required" for equipment that does not require to be calibrated and select an appropriate determination below.</t>
  </si>
  <si>
    <t>Calibration Not Required:</t>
  </si>
  <si>
    <t xml:space="preserve">Determine how often the equipment will be used.  </t>
  </si>
  <si>
    <t xml:space="preserve">User Frequency: </t>
  </si>
  <si>
    <t>Determine the calibration interval (period of time) that the equipment will be calibrated.  Initial calibration interval is normally set at 1 year.</t>
  </si>
  <si>
    <t xml:space="preserve">Interval Determination: </t>
  </si>
  <si>
    <t>This section covers the two below main purposes: one is to initiate a form for a new equipment and other is to maintain changes for existing equipment.</t>
  </si>
  <si>
    <t>Calibration Required</t>
  </si>
  <si>
    <t xml:space="preserve">Enter calibration per manufacturing recommendation.  </t>
  </si>
  <si>
    <t>For standard equipment:</t>
  </si>
  <si>
    <t>For  Preset Calibration:</t>
  </si>
  <si>
    <t>Serial Number:</t>
  </si>
  <si>
    <t>Selection#1</t>
  </si>
  <si>
    <t>Selection#2</t>
  </si>
  <si>
    <t>Selection#3</t>
  </si>
  <si>
    <t>Stryker Custom Specifications  (Enter specific Calibration Requirements Below)</t>
  </si>
  <si>
    <t>Validation Required</t>
  </si>
  <si>
    <t>Calibration Interval/Location/Status Change (Enter Justification/Comments below)</t>
  </si>
  <si>
    <t>Deactivate retired Equipment</t>
  </si>
  <si>
    <t xml:space="preserve">Deactivate Lost Equipment </t>
  </si>
  <si>
    <t>Refer to DSOP16 Process Validation</t>
  </si>
  <si>
    <t>Stryker equipment:  Enter Release Print or Procedure Number Below</t>
  </si>
  <si>
    <t>Equipment is not used for acceptance testing, process monitoring or design verification and validation</t>
  </si>
  <si>
    <t>EQUIPMENT  VALIDATION / OPERATION RANGE</t>
  </si>
  <si>
    <t xml:space="preserve">Process or Operational Range </t>
  </si>
  <si>
    <r>
      <t xml:space="preserve">Enter </t>
    </r>
    <r>
      <rPr>
        <b/>
        <sz val="10"/>
        <color rgb="FF000000"/>
        <rFont val="Arial"/>
        <family val="2"/>
      </rPr>
      <t>CAL#</t>
    </r>
    <r>
      <rPr>
        <sz val="10"/>
        <color rgb="FF000000"/>
        <rFont val="Arial"/>
        <family val="2"/>
      </rPr>
      <t>,  Get the cal number through Agile per DWI1618.</t>
    </r>
  </si>
  <si>
    <t xml:space="preserve">This revision is mainly to track changes associated with this  Calibration Assessment #. The initial revision should be A.  </t>
  </si>
  <si>
    <r>
      <t xml:space="preserve"> For standard equipment; enter the manufacturer name (e.g. Mitutoyo, Fluke...).  For Stryker products and items manufacture for  Stryker, enter </t>
    </r>
    <r>
      <rPr>
        <b/>
        <sz val="10"/>
        <color rgb="FF000000"/>
        <rFont val="Arial"/>
        <family val="2"/>
      </rPr>
      <t>Stryker</t>
    </r>
    <r>
      <rPr>
        <sz val="10"/>
        <color rgb="FF000000"/>
        <rFont val="Arial"/>
        <family val="2"/>
      </rPr>
      <t>.</t>
    </r>
  </si>
  <si>
    <r>
      <t xml:space="preserve">Enter </t>
    </r>
    <r>
      <rPr>
        <b/>
        <sz val="10"/>
        <color rgb="FF000000"/>
        <rFont val="Arial"/>
        <family val="2"/>
      </rPr>
      <t>S/N</t>
    </r>
    <r>
      <rPr>
        <sz val="10"/>
        <color rgb="FF000000"/>
        <rFont val="Arial"/>
        <family val="2"/>
      </rPr>
      <t>. For equipment without a serial number; enter "</t>
    </r>
    <r>
      <rPr>
        <b/>
        <sz val="10"/>
        <color rgb="FF000000"/>
        <rFont val="Arial"/>
        <family val="2"/>
      </rPr>
      <t>N/A</t>
    </r>
    <r>
      <rPr>
        <sz val="10"/>
        <color rgb="FF000000"/>
        <rFont val="Arial"/>
        <family val="2"/>
      </rPr>
      <t xml:space="preserve">".  For </t>
    </r>
    <r>
      <rPr>
        <b/>
        <sz val="10"/>
        <color rgb="FF000000"/>
        <rFont val="Arial"/>
        <family val="2"/>
      </rPr>
      <t>multiple</t>
    </r>
    <r>
      <rPr>
        <sz val="10"/>
        <color rgb="FF000000"/>
        <rFont val="Arial"/>
        <family val="2"/>
      </rPr>
      <t xml:space="preserve"> same items that don't required calibration, enter </t>
    </r>
    <r>
      <rPr>
        <b/>
        <sz val="10"/>
        <color rgb="FF000000"/>
        <rFont val="Arial"/>
        <family val="2"/>
      </rPr>
      <t>" Various"</t>
    </r>
    <r>
      <rPr>
        <sz val="10"/>
        <color rgb="FF000000"/>
        <rFont val="Arial"/>
        <family val="2"/>
      </rPr>
      <t>.</t>
    </r>
  </si>
  <si>
    <t xml:space="preserve"> Select the appropriate department who owns the equipment from the dropdown list.  If a specific department is not available in the dropdown list, Contact the Calibration coordinator. </t>
  </si>
  <si>
    <t xml:space="preserve"> Enter specific station where that equipment will be used. (e.g. LS QC1, CCU Line...)</t>
  </si>
  <si>
    <t>Calibration Interval/Location/Status Change</t>
  </si>
  <si>
    <t xml:space="preserve">Select this for changing the calibration interval frequency,  Equipment Location Change. </t>
  </si>
  <si>
    <t>Stryker Custom Specifications:</t>
  </si>
  <si>
    <t>Validation Required?</t>
  </si>
  <si>
    <t xml:space="preserve"> If "Yes", enter VAL#    </t>
  </si>
  <si>
    <t>IMTE Cal Range &gt;=  Process Range</t>
  </si>
  <si>
    <t xml:space="preserve">IMTE Calibration Range   </t>
  </si>
  <si>
    <t>IMTE LOCATION AREA</t>
  </si>
  <si>
    <t>IMTE DESCRIPTION AND IDENTIFICATION</t>
  </si>
  <si>
    <t>IMTE VALIDATION / OPERATION RANGE</t>
  </si>
  <si>
    <t>Process or Operational Tolerance</t>
  </si>
  <si>
    <t>IMTE Calibration Tolerance</t>
  </si>
  <si>
    <t>IMTE Cal Tolerance &lt;=  Process Tolerance</t>
  </si>
  <si>
    <t xml:space="preserve">NOTE: All empty blocks need to be filled, enter N/A for all not applicable areas.See CAL Asesessment Form for Guidance to fill this form    </t>
  </si>
  <si>
    <r>
      <t xml:space="preserve">Select " </t>
    </r>
    <r>
      <rPr>
        <b/>
        <sz val="10"/>
        <color rgb="FF000000"/>
        <rFont val="Arial"/>
        <family val="2"/>
      </rPr>
      <t>Yes or No</t>
    </r>
    <r>
      <rPr>
        <sz val="10"/>
        <color rgb="FF000000"/>
        <rFont val="Arial"/>
        <family val="2"/>
      </rPr>
      <t>" from the drop list   If yes Enter VAL# in next cell.</t>
    </r>
  </si>
  <si>
    <r>
      <t xml:space="preserve">IMTE </t>
    </r>
    <r>
      <rPr>
        <sz val="12"/>
        <color rgb="FF000000"/>
        <rFont val="Arial"/>
        <family val="2"/>
      </rPr>
      <t>P</t>
    </r>
    <r>
      <rPr>
        <b/>
        <sz val="12"/>
        <color rgb="FF000000"/>
        <rFont val="Arial"/>
        <family val="2"/>
      </rPr>
      <t>rocess or Operational Tolerance</t>
    </r>
  </si>
  <si>
    <t xml:space="preserve">Enter the calibration tolerance of the equipment (e.g.+/- 2°C). See Equipment specifications to find this information. Enter "N/A" for Stryker Equipment. </t>
  </si>
  <si>
    <t>N/A</t>
  </si>
  <si>
    <r>
      <t>Enter Procedure # &amp; steps(e.g. QIPXXXX steps 20-30) or range that the equipment is going to be used (e.g. 40°C to 100°C). 
For equipment used for various applications enter "</t>
    </r>
    <r>
      <rPr>
        <b/>
        <sz val="10"/>
        <color rgb="FF000000"/>
        <rFont val="Arial"/>
        <family val="2"/>
      </rPr>
      <t>General use</t>
    </r>
    <r>
      <rPr>
        <sz val="10"/>
        <color rgb="FF000000"/>
        <rFont val="Arial"/>
        <family val="2"/>
      </rPr>
      <t>"</t>
    </r>
  </si>
  <si>
    <t>Enter tolerances that the equipment is going to be used (e.g.+/- 5°C). For equipment used for various applications enter "General use"</t>
  </si>
  <si>
    <t xml:space="preserve">        Document Number: SOP0008.01                                                                                       Rev:  E                          </t>
  </si>
  <si>
    <r>
      <rPr>
        <sz val="10"/>
        <rFont val="Arial"/>
        <family val="2"/>
      </rPr>
      <t>Enter the calibration range of the equipment, defined by the upper and lower limits in which the equipment can be certified to be in tolerance. See Equipment specifications to find this information. For IMTE use to take multiple measuremnts e.g, Safety Analyzer attach the full specifiaction data sheet to the CAL. Assessment.   Enter "</t>
    </r>
    <r>
      <rPr>
        <b/>
        <sz val="10"/>
        <rFont val="Arial"/>
        <family val="2"/>
      </rPr>
      <t xml:space="preserve">N/A" </t>
    </r>
    <r>
      <rPr>
        <sz val="10"/>
        <rFont val="Arial"/>
        <family val="2"/>
      </rPr>
      <t xml:space="preserve">for Stryker Equipment. </t>
    </r>
  </si>
  <si>
    <t xml:space="preserve"> enter specific calibration setting with tolerances </t>
  </si>
  <si>
    <t>Select from dropdown list</t>
  </si>
  <si>
    <t>Equipment does not make measurements or provide expected output</t>
  </si>
  <si>
    <t xml:space="preserve"> Select this for removing a retired equipment from the calibration system.  Enter reason why equipment is been removed and Attach proof of End of Life Calibration if End of Life Calibration  was not Performed enter NC# or Discrepancy Request unique form number located on the top right corner of the IMTE discrepancy form D0000001417. </t>
  </si>
  <si>
    <t xml:space="preserve"> Select this for removing a lost equipment. enter NC# or Discrepancy Request unique form number located on the top right corner of the IMTE discrepancy form D0000001417.     *IMTE discrepancy form D0000001417 can be found @ http://oneplm.strykercorp.com/corpDocs/Process Design and Control</t>
  </si>
  <si>
    <t>A</t>
  </si>
  <si>
    <t>PRESSURE CALIBRATOR</t>
  </si>
  <si>
    <t>Range:   -12 to 100 PSI</t>
  </si>
  <si>
    <t>IMTE Tolerance: +/- 0.05% Full Scale</t>
  </si>
  <si>
    <t>Operational Tolerance: +/- 0.4 bar</t>
  </si>
  <si>
    <t xml:space="preserve">Used for the Testing HPU,  Output Pressure HPU and Leaks Test, per TSI10192 step 5.4.1. Operational Range: 3.6 bar (52.2 PSI) </t>
  </si>
  <si>
    <t>REPAIR/OEM (Back Up )</t>
  </si>
  <si>
    <t>1122334</t>
  </si>
  <si>
    <t>ACME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</si>
</sst>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43" x14ac:knownFonts="1">
    <font>
      <sz val="10"/>
      <color rgb="FF000000"/>
      <name val="Arial"/>
    </font>
    <font>
      <sz val="11"/>
      <color theme="1"/>
      <name val="Calibri"/>
      <family val="2"/>
      <scheme val="minor"/>
    </font>
    <font>
      <sz val="11"/>
      <color theme="1"/>
      <name val="Calibri"/>
      <family val="2"/>
      <scheme val="minor"/>
    </font>
    <font>
      <b/>
      <sz val="10"/>
      <color rgb="FF000000"/>
      <name val="Arial"/>
      <family val="2"/>
    </font>
    <font>
      <sz val="11"/>
      <color rgb="FF400040"/>
      <name val="Calibri"/>
      <family val="2"/>
    </font>
    <font>
      <sz val="11"/>
      <color theme="0"/>
      <name val="Arial"/>
      <family val="2"/>
    </font>
    <font>
      <sz val="10"/>
      <color rgb="FFFF0000"/>
      <name val="Arial"/>
      <family val="2"/>
    </font>
    <font>
      <sz val="11"/>
      <color theme="0"/>
      <name val="Calibri"/>
      <family val="2"/>
    </font>
    <font>
      <sz val="10"/>
      <color theme="0"/>
      <name val="Arial"/>
      <family val="2"/>
    </font>
    <font>
      <sz val="10"/>
      <color rgb="FF000000"/>
      <name val="Arial"/>
      <family val="2"/>
    </font>
    <font>
      <sz val="9"/>
      <color rgb="FF000000"/>
      <name val="Arial"/>
      <family val="2"/>
    </font>
    <font>
      <sz val="9"/>
      <color theme="1"/>
      <name val="Arial"/>
      <family val="2"/>
    </font>
    <font>
      <sz val="10"/>
      <color theme="1"/>
      <name val="Arial"/>
      <family val="2"/>
    </font>
    <font>
      <sz val="11"/>
      <color theme="1"/>
      <name val="Calibri"/>
      <family val="2"/>
    </font>
    <font>
      <sz val="12"/>
      <color theme="1"/>
      <name val="Arial"/>
      <family val="2"/>
    </font>
    <font>
      <b/>
      <sz val="12"/>
      <color theme="1"/>
      <name val="Arial"/>
      <family val="2"/>
    </font>
    <font>
      <b/>
      <sz val="10"/>
      <color theme="1"/>
      <name val="Arial"/>
      <family val="2"/>
    </font>
    <font>
      <b/>
      <sz val="11"/>
      <color rgb="FFFF0000"/>
      <name val="Arial"/>
      <family val="2"/>
    </font>
    <font>
      <sz val="11"/>
      <color rgb="FFFF0000"/>
      <name val="Arial"/>
      <family val="2"/>
    </font>
    <font>
      <sz val="12"/>
      <color rgb="FFFF0000"/>
      <name val="Arial"/>
      <family val="2"/>
    </font>
    <font>
      <sz val="11"/>
      <color rgb="FFFF0000"/>
      <name val="Calibri"/>
      <family val="2"/>
    </font>
    <font>
      <sz val="12"/>
      <color rgb="FFFF0000"/>
      <name val="Calibri"/>
      <family val="2"/>
    </font>
    <font>
      <sz val="10"/>
      <name val="Arial"/>
      <family val="2"/>
    </font>
    <font>
      <sz val="9"/>
      <name val="Arial"/>
      <family val="2"/>
    </font>
    <font>
      <b/>
      <sz val="12"/>
      <color rgb="FF000000"/>
      <name val="Arial"/>
      <family val="2"/>
    </font>
    <font>
      <b/>
      <sz val="10"/>
      <name val="Arial"/>
      <family val="2"/>
    </font>
    <font>
      <b/>
      <sz val="14"/>
      <color rgb="FF000000"/>
      <name val="Arial"/>
      <family val="2"/>
    </font>
    <font>
      <sz val="7"/>
      <color rgb="FFFF0000"/>
      <name val="Verdana"/>
      <family val="2"/>
    </font>
    <font>
      <b/>
      <sz val="14"/>
      <color theme="1"/>
      <name val="Arial"/>
      <family val="2"/>
    </font>
    <font>
      <sz val="12"/>
      <color rgb="FF000000"/>
      <name val="Arial"/>
      <family val="2"/>
    </font>
    <font>
      <sz val="14"/>
      <color theme="1"/>
      <name val="Arial"/>
      <family val="2"/>
    </font>
    <font>
      <sz val="14"/>
      <color rgb="FFFF0000"/>
      <name val="Arial"/>
      <family val="2"/>
    </font>
    <font>
      <sz val="14"/>
      <color theme="0"/>
      <name val="Arial"/>
      <family val="2"/>
    </font>
    <font>
      <sz val="14"/>
      <color theme="0"/>
      <name val="Calibri"/>
      <family val="2"/>
    </font>
    <font>
      <sz val="14"/>
      <color rgb="FF400040"/>
      <name val="Calibri"/>
      <family val="2"/>
    </font>
    <font>
      <sz val="14"/>
      <color rgb="FF000000"/>
      <name val="Arial"/>
      <family val="2"/>
    </font>
    <font>
      <sz val="8"/>
      <color theme="1"/>
      <name val="Arial"/>
      <family val="2"/>
    </font>
    <font>
      <sz val="12"/>
      <name val="Arial"/>
      <family val="2"/>
    </font>
    <font>
      <b/>
      <sz val="18"/>
      <color theme="1"/>
      <name val="Arial"/>
      <family val="2"/>
    </font>
    <font>
      <sz val="18"/>
      <color rgb="FF000000"/>
      <name val="Arial"/>
      <family val="2"/>
    </font>
    <font>
      <b/>
      <sz val="14"/>
      <color rgb="FF333333"/>
      <name val="Arial"/>
      <family val="2"/>
    </font>
    <font>
      <sz val="11"/>
      <name val="Arial"/>
      <family val="2"/>
    </font>
    <font>
      <sz val="14"/>
      <name val="Arial"/>
      <family val="2"/>
    </font>
  </fonts>
  <fills count="8">
    <fill>
      <patternFill patternType="none"/>
    </fill>
    <fill>
      <patternFill patternType="gray125"/>
    </fill>
    <fill>
      <patternFill patternType="solid">
        <fgColor rgb="FFFFFFFF"/>
      </patternFill>
    </fill>
    <fill>
      <patternFill patternType="solid">
        <fgColor theme="0"/>
        <bgColor indexed="64"/>
      </patternFill>
    </fill>
    <fill>
      <patternFill patternType="solid">
        <fgColor rgb="FFF5F5F5"/>
        <bgColor indexed="64"/>
      </patternFill>
    </fill>
    <fill>
      <patternFill patternType="solid">
        <fgColor theme="0" tint="-4.9989318521683403E-2"/>
        <bgColor indexed="64"/>
      </patternFill>
    </fill>
    <fill>
      <patternFill patternType="solid">
        <fgColor theme="0" tint="-0.24994659260841701"/>
        <bgColor indexed="64"/>
      </patternFill>
    </fill>
    <fill>
      <patternFill patternType="solid">
        <fgColor theme="0" tint="-0.14999847407452621"/>
        <bgColor indexed="64"/>
      </patternFill>
    </fill>
  </fills>
  <borders count="53">
    <border>
      <left/>
      <right/>
      <top/>
      <bottom/>
      <diagonal/>
    </border>
    <border>
      <left/>
      <right/>
      <top/>
      <bottom/>
      <diagonal/>
    </border>
    <border>
      <left style="medium">
        <color auto="1"/>
      </left>
      <right style="medium">
        <color auto="1"/>
      </right>
      <top style="medium">
        <color auto="1"/>
      </top>
      <bottom style="medium">
        <color auto="1"/>
      </bottom>
      <diagonal/>
    </border>
    <border>
      <left/>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medium">
        <color auto="1"/>
      </left>
      <right/>
      <top/>
      <bottom/>
      <diagonal/>
    </border>
    <border>
      <left/>
      <right style="thin">
        <color theme="0"/>
      </right>
      <top/>
      <bottom style="thin">
        <color theme="0"/>
      </bottom>
      <diagonal/>
    </border>
    <border>
      <left/>
      <right style="thin">
        <color theme="0"/>
      </right>
      <top/>
      <bottom style="thick">
        <color theme="0"/>
      </bottom>
      <diagonal/>
    </border>
    <border>
      <left/>
      <right style="thin">
        <color theme="0"/>
      </right>
      <top/>
      <bottom/>
      <diagonal/>
    </border>
    <border>
      <left/>
      <right/>
      <top/>
      <bottom style="thick">
        <color theme="0"/>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medium">
        <color auto="1"/>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medium">
        <color auto="1"/>
      </right>
      <top/>
      <bottom style="thick">
        <color auto="1"/>
      </bottom>
      <diagonal/>
    </border>
    <border>
      <left style="medium">
        <color auto="1"/>
      </left>
      <right style="medium">
        <color auto="1"/>
      </right>
      <top/>
      <bottom style="thick">
        <color auto="1"/>
      </bottom>
      <diagonal/>
    </border>
    <border>
      <left style="medium">
        <color auto="1"/>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theme="0"/>
      </top>
      <bottom/>
      <diagonal/>
    </border>
    <border>
      <left style="medium">
        <color auto="1"/>
      </left>
      <right style="thick">
        <color auto="1"/>
      </right>
      <top style="medium">
        <color auto="1"/>
      </top>
      <bottom style="medium">
        <color auto="1"/>
      </bottom>
      <diagonal/>
    </border>
    <border>
      <left style="thick">
        <color auto="1"/>
      </left>
      <right style="medium">
        <color auto="1"/>
      </right>
      <top/>
      <bottom style="medium">
        <color auto="1"/>
      </bottom>
      <diagonal/>
    </border>
    <border>
      <left style="medium">
        <color auto="1"/>
      </left>
      <right style="thick">
        <color auto="1"/>
      </right>
      <top/>
      <bottom style="medium">
        <color auto="1"/>
      </bottom>
      <diagonal/>
    </border>
    <border>
      <left style="thick">
        <color auto="1"/>
      </left>
      <right style="medium">
        <color auto="1"/>
      </right>
      <top style="medium">
        <color auto="1"/>
      </top>
      <bottom style="medium">
        <color auto="1"/>
      </bottom>
      <diagonal/>
    </border>
    <border>
      <left/>
      <right style="thick">
        <color auto="1"/>
      </right>
      <top style="medium">
        <color auto="1"/>
      </top>
      <bottom style="medium">
        <color auto="1"/>
      </bottom>
      <diagonal/>
    </border>
    <border>
      <left style="thick">
        <color auto="1"/>
      </left>
      <right/>
      <top style="medium">
        <color auto="1"/>
      </top>
      <bottom/>
      <diagonal/>
    </border>
    <border>
      <left/>
      <right style="thick">
        <color auto="1"/>
      </right>
      <top style="medium">
        <color auto="1"/>
      </top>
      <bottom/>
      <diagonal/>
    </border>
    <border>
      <left/>
      <right style="thick">
        <color auto="1"/>
      </right>
      <top/>
      <bottom/>
      <diagonal/>
    </border>
    <border>
      <left style="thick">
        <color auto="1"/>
      </left>
      <right style="thick">
        <color auto="1"/>
      </right>
      <top style="medium">
        <color auto="1"/>
      </top>
      <bottom style="thick">
        <color auto="1"/>
      </bottom>
      <diagonal/>
    </border>
    <border>
      <left style="thick">
        <color auto="1"/>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ck">
        <color auto="1"/>
      </right>
      <top style="medium">
        <color auto="1"/>
      </top>
      <bottom/>
      <diagonal/>
    </border>
    <border>
      <left style="thick">
        <color auto="1"/>
      </left>
      <right style="medium">
        <color auto="1"/>
      </right>
      <top/>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auto="1"/>
      </left>
      <right style="thick">
        <color auto="1"/>
      </right>
      <top style="thick">
        <color auto="1"/>
      </top>
      <bottom style="thick">
        <color auto="1"/>
      </bottom>
      <diagonal/>
    </border>
    <border>
      <left/>
      <right style="thick">
        <color auto="1"/>
      </right>
      <top style="thick">
        <color auto="1"/>
      </top>
      <bottom style="medium">
        <color auto="1"/>
      </bottom>
      <diagonal/>
    </border>
    <border>
      <left style="thick">
        <color auto="1"/>
      </left>
      <right style="thick">
        <color auto="1"/>
      </right>
      <top style="thick">
        <color auto="1"/>
      </top>
      <bottom style="medium">
        <color auto="1"/>
      </bottom>
      <diagonal/>
    </border>
    <border>
      <left/>
      <right/>
      <top/>
      <bottom style="thick">
        <color auto="1"/>
      </bottom>
      <diagonal/>
    </border>
    <border>
      <left/>
      <right style="thick">
        <color auto="1"/>
      </right>
      <top/>
      <bottom style="thick">
        <color auto="1"/>
      </bottom>
      <diagonal/>
    </border>
    <border>
      <left style="thick">
        <color indexed="64"/>
      </left>
      <right style="thick">
        <color indexed="64"/>
      </right>
      <top style="thick">
        <color indexed="64"/>
      </top>
      <bottom style="thick">
        <color indexed="64"/>
      </bottom>
      <diagonal/>
    </border>
  </borders>
  <cellStyleXfs count="4">
    <xf numFmtId="0" fontId="0" fillId="0" borderId="0"/>
    <xf numFmtId="0" fontId="2" fillId="0" borderId="1"/>
    <xf numFmtId="0" fontId="1" fillId="0" borderId="1"/>
    <xf numFmtId="0" fontId="9" fillId="0" borderId="1"/>
  </cellStyleXfs>
  <cellXfs count="182">
    <xf numFmtId="0" fontId="0" fillId="0" borderId="0" xfId="0"/>
    <xf numFmtId="0" fontId="9" fillId="0" borderId="1" xfId="3"/>
    <xf numFmtId="0" fontId="12" fillId="0" borderId="0" xfId="0" applyFont="1"/>
    <xf numFmtId="0" fontId="13" fillId="0" borderId="0" xfId="0" applyFont="1" applyAlignment="1">
      <alignment horizontal="center"/>
    </xf>
    <xf numFmtId="164" fontId="12" fillId="0" borderId="0" xfId="0" applyNumberFormat="1" applyFont="1"/>
    <xf numFmtId="164" fontId="0" fillId="0" borderId="0" xfId="0" applyNumberFormat="1"/>
    <xf numFmtId="164" fontId="8" fillId="3" borderId="0" xfId="0" applyNumberFormat="1" applyFont="1" applyFill="1"/>
    <xf numFmtId="0" fontId="30" fillId="0" borderId="0" xfId="0" applyFont="1"/>
    <xf numFmtId="0" fontId="35" fillId="0" borderId="0" xfId="0" applyFont="1"/>
    <xf numFmtId="0" fontId="12" fillId="0" borderId="0" xfId="0" applyFont="1" applyAlignment="1">
      <alignment vertical="center"/>
    </xf>
    <xf numFmtId="164" fontId="5" fillId="3" borderId="0" xfId="0" applyNumberFormat="1" applyFont="1" applyFill="1" applyAlignment="1">
      <alignment vertical="center"/>
    </xf>
    <xf numFmtId="164" fontId="7" fillId="3" borderId="0" xfId="0" applyNumberFormat="1" applyFont="1" applyFill="1" applyAlignment="1">
      <alignment vertical="center"/>
    </xf>
    <xf numFmtId="0" fontId="0" fillId="0" borderId="0" xfId="0" applyAlignment="1">
      <alignment vertical="center"/>
    </xf>
    <xf numFmtId="164" fontId="6" fillId="3" borderId="0" xfId="0" applyNumberFormat="1" applyFont="1" applyFill="1"/>
    <xf numFmtId="164" fontId="20" fillId="3" borderId="1" xfId="0" applyNumberFormat="1" applyFont="1" applyFill="1" applyBorder="1" applyAlignment="1">
      <alignment horizontal="left"/>
    </xf>
    <xf numFmtId="164" fontId="6" fillId="3" borderId="1" xfId="0" applyNumberFormat="1" applyFont="1" applyFill="1" applyBorder="1"/>
    <xf numFmtId="164" fontId="27" fillId="0" borderId="0" xfId="0" applyNumberFormat="1" applyFont="1"/>
    <xf numFmtId="164" fontId="4" fillId="3" borderId="0" xfId="0" applyNumberFormat="1" applyFont="1" applyFill="1" applyAlignment="1">
      <alignment vertical="center"/>
    </xf>
    <xf numFmtId="164" fontId="4" fillId="2" borderId="0" xfId="0" applyNumberFormat="1" applyFont="1" applyFill="1" applyAlignment="1">
      <alignment vertical="center"/>
    </xf>
    <xf numFmtId="164" fontId="35" fillId="0" borderId="0" xfId="0" applyNumberFormat="1" applyFont="1"/>
    <xf numFmtId="164" fontId="0" fillId="3" borderId="0" xfId="0" applyNumberFormat="1" applyFill="1"/>
    <xf numFmtId="0" fontId="24" fillId="0" borderId="13" xfId="3" applyFont="1" applyBorder="1" applyAlignment="1">
      <alignment horizontal="left" vertical="center" wrapText="1"/>
    </xf>
    <xf numFmtId="164" fontId="5" fillId="3" borderId="0" xfId="0" applyNumberFormat="1" applyFont="1" applyFill="1"/>
    <xf numFmtId="164" fontId="7" fillId="3" borderId="0" xfId="0" applyNumberFormat="1" applyFont="1" applyFill="1"/>
    <xf numFmtId="164" fontId="4" fillId="3" borderId="0" xfId="0" applyNumberFormat="1" applyFont="1" applyFill="1"/>
    <xf numFmtId="164" fontId="4" fillId="2" borderId="0" xfId="0" applyNumberFormat="1" applyFont="1" applyFill="1"/>
    <xf numFmtId="0" fontId="28" fillId="5" borderId="49" xfId="0" applyFont="1" applyFill="1" applyBorder="1"/>
    <xf numFmtId="0" fontId="28" fillId="0" borderId="48" xfId="0" applyFont="1" applyBorder="1" applyAlignment="1" applyProtection="1">
      <alignment horizontal="center"/>
      <protection locked="0"/>
    </xf>
    <xf numFmtId="0" fontId="28" fillId="5" borderId="40" xfId="0" applyFont="1" applyFill="1" applyBorder="1" applyAlignment="1">
      <alignment horizontal="center"/>
    </xf>
    <xf numFmtId="0" fontId="40" fillId="0" borderId="36" xfId="0" applyFont="1" applyBorder="1" applyAlignment="1" applyProtection="1">
      <alignment horizontal="center"/>
      <protection locked="0"/>
    </xf>
    <xf numFmtId="0" fontId="15" fillId="5" borderId="6" xfId="0" applyFont="1" applyFill="1" applyBorder="1" applyAlignment="1">
      <alignment horizontal="center" shrinkToFit="1"/>
    </xf>
    <xf numFmtId="0" fontId="12" fillId="0" borderId="21" xfId="0" applyFont="1" applyBorder="1" applyAlignment="1" applyProtection="1">
      <alignment horizontal="center"/>
      <protection locked="0"/>
    </xf>
    <xf numFmtId="164" fontId="32" fillId="3" borderId="0" xfId="0" applyNumberFormat="1" applyFont="1" applyFill="1"/>
    <xf numFmtId="164" fontId="33" fillId="3" borderId="0" xfId="0" applyNumberFormat="1" applyFont="1" applyFill="1"/>
    <xf numFmtId="164" fontId="34" fillId="3" borderId="0" xfId="0" applyNumberFormat="1" applyFont="1" applyFill="1"/>
    <xf numFmtId="164" fontId="34" fillId="2" borderId="0" xfId="0" applyNumberFormat="1" applyFont="1" applyFill="1"/>
    <xf numFmtId="0" fontId="12" fillId="0" borderId="52" xfId="0" applyFont="1" applyBorder="1" applyAlignment="1" applyProtection="1">
      <alignment horizontal="center"/>
      <protection locked="0"/>
    </xf>
    <xf numFmtId="0" fontId="15" fillId="4" borderId="44" xfId="0" applyFont="1" applyFill="1" applyBorder="1" applyAlignment="1">
      <alignment horizontal="center"/>
    </xf>
    <xf numFmtId="0" fontId="14" fillId="3" borderId="21" xfId="0" applyFont="1" applyFill="1" applyBorder="1" applyAlignment="1" applyProtection="1">
      <alignment horizontal="center" shrinkToFit="1"/>
      <protection locked="0"/>
    </xf>
    <xf numFmtId="0" fontId="15" fillId="4" borderId="21" xfId="0" applyFont="1" applyFill="1" applyBorder="1" applyAlignment="1">
      <alignment horizontal="center"/>
    </xf>
    <xf numFmtId="0" fontId="15" fillId="4" borderId="21" xfId="0" applyFont="1" applyFill="1" applyBorder="1" applyAlignment="1">
      <alignment horizontal="right"/>
    </xf>
    <xf numFmtId="0" fontId="14" fillId="0" borderId="46" xfId="0" applyFont="1" applyBorder="1" applyAlignment="1" applyProtection="1">
      <alignment horizontal="center" shrinkToFit="1"/>
      <protection locked="0" hidden="1"/>
    </xf>
    <xf numFmtId="164" fontId="20" fillId="3" borderId="1" xfId="0" applyNumberFormat="1" applyFont="1" applyFill="1" applyBorder="1"/>
    <xf numFmtId="164" fontId="18" fillId="3" borderId="0" xfId="0" applyNumberFormat="1" applyFont="1" applyFill="1"/>
    <xf numFmtId="164" fontId="20" fillId="3" borderId="0" xfId="0" applyNumberFormat="1" applyFont="1" applyFill="1"/>
    <xf numFmtId="164" fontId="13" fillId="3" borderId="0" xfId="0" applyNumberFormat="1" applyFont="1" applyFill="1"/>
    <xf numFmtId="164" fontId="13" fillId="3" borderId="1" xfId="0" applyNumberFormat="1" applyFont="1" applyFill="1" applyBorder="1"/>
    <xf numFmtId="164" fontId="13" fillId="2" borderId="0" xfId="0" applyNumberFormat="1" applyFont="1" applyFill="1"/>
    <xf numFmtId="164" fontId="13" fillId="2" borderId="1" xfId="0" applyNumberFormat="1" applyFont="1" applyFill="1" applyBorder="1"/>
    <xf numFmtId="164" fontId="7" fillId="2" borderId="0" xfId="0" applyNumberFormat="1" applyFont="1" applyFill="1"/>
    <xf numFmtId="164" fontId="13" fillId="0" borderId="0" xfId="0" applyNumberFormat="1" applyFont="1"/>
    <xf numFmtId="164" fontId="5" fillId="3" borderId="0" xfId="0" applyNumberFormat="1" applyFont="1" applyFill="1" applyAlignment="1">
      <alignment horizontal="left"/>
    </xf>
    <xf numFmtId="164" fontId="5" fillId="3" borderId="0" xfId="0" applyNumberFormat="1" applyFont="1" applyFill="1" applyAlignment="1">
      <alignment horizontal="left" vertical="center"/>
    </xf>
    <xf numFmtId="164" fontId="17" fillId="3" borderId="9" xfId="0" applyNumberFormat="1" applyFont="1" applyFill="1" applyBorder="1"/>
    <xf numFmtId="164" fontId="17" fillId="3" borderId="10" xfId="0" applyNumberFormat="1" applyFont="1" applyFill="1" applyBorder="1" applyAlignment="1">
      <alignment horizontal="left"/>
    </xf>
    <xf numFmtId="164" fontId="17" fillId="3" borderId="11" xfId="0" applyNumberFormat="1" applyFont="1" applyFill="1" applyBorder="1" applyAlignment="1">
      <alignment horizontal="left"/>
    </xf>
    <xf numFmtId="164" fontId="17" fillId="3" borderId="1" xfId="0" applyNumberFormat="1" applyFont="1" applyFill="1" applyBorder="1"/>
    <xf numFmtId="164" fontId="18" fillId="3" borderId="8" xfId="0" applyNumberFormat="1" applyFont="1" applyFill="1" applyBorder="1" applyAlignment="1">
      <alignment horizontal="left"/>
    </xf>
    <xf numFmtId="164" fontId="18" fillId="0" borderId="0" xfId="0" applyNumberFormat="1" applyFont="1" applyAlignment="1">
      <alignment vertical="center"/>
    </xf>
    <xf numFmtId="164" fontId="18" fillId="3" borderId="10" xfId="0" applyNumberFormat="1" applyFont="1" applyFill="1" applyBorder="1"/>
    <xf numFmtId="164" fontId="18" fillId="3" borderId="1" xfId="0" applyNumberFormat="1" applyFont="1" applyFill="1" applyBorder="1"/>
    <xf numFmtId="164" fontId="19" fillId="3" borderId="1" xfId="0" applyNumberFormat="1" applyFont="1" applyFill="1" applyBorder="1"/>
    <xf numFmtId="164" fontId="18" fillId="3" borderId="31" xfId="0" applyNumberFormat="1" applyFont="1" applyFill="1" applyBorder="1"/>
    <xf numFmtId="164" fontId="20" fillId="3" borderId="8" xfId="0" applyNumberFormat="1" applyFont="1" applyFill="1" applyBorder="1"/>
    <xf numFmtId="164" fontId="20" fillId="3" borderId="8" xfId="0" applyNumberFormat="1" applyFont="1" applyFill="1" applyBorder="1" applyAlignment="1">
      <alignment vertical="center"/>
    </xf>
    <xf numFmtId="164" fontId="18" fillId="3" borderId="0" xfId="0" applyNumberFormat="1" applyFont="1" applyFill="1" applyAlignment="1">
      <alignment horizontal="left" vertical="center"/>
    </xf>
    <xf numFmtId="164" fontId="20" fillId="3" borderId="10" xfId="0" applyNumberFormat="1" applyFont="1" applyFill="1" applyBorder="1"/>
    <xf numFmtId="164" fontId="18" fillId="3" borderId="0" xfId="0" applyNumberFormat="1" applyFont="1" applyFill="1" applyAlignment="1">
      <alignment horizontal="left"/>
    </xf>
    <xf numFmtId="164" fontId="18" fillId="3" borderId="0" xfId="0" applyNumberFormat="1" applyFont="1" applyFill="1" applyAlignment="1">
      <alignment vertical="center"/>
    </xf>
    <xf numFmtId="164" fontId="18" fillId="3" borderId="0" xfId="0" applyNumberFormat="1" applyFont="1" applyFill="1" applyAlignment="1">
      <alignment vertical="top"/>
    </xf>
    <xf numFmtId="164" fontId="42" fillId="3" borderId="1" xfId="0" applyNumberFormat="1" applyFont="1" applyFill="1" applyBorder="1"/>
    <xf numFmtId="164" fontId="31" fillId="3" borderId="0" xfId="0" applyNumberFormat="1" applyFont="1" applyFill="1" applyAlignment="1">
      <alignment horizontal="left"/>
    </xf>
    <xf numFmtId="164" fontId="31" fillId="3" borderId="0" xfId="0" applyNumberFormat="1" applyFont="1" applyFill="1"/>
    <xf numFmtId="164" fontId="31" fillId="3" borderId="1" xfId="0" applyNumberFormat="1" applyFont="1" applyFill="1" applyBorder="1"/>
    <xf numFmtId="164" fontId="41" fillId="3" borderId="1" xfId="0" applyNumberFormat="1" applyFont="1" applyFill="1" applyBorder="1"/>
    <xf numFmtId="164" fontId="19" fillId="3" borderId="0" xfId="0" applyNumberFormat="1" applyFont="1" applyFill="1"/>
    <xf numFmtId="164" fontId="21" fillId="3" borderId="1" xfId="0" applyNumberFormat="1" applyFont="1" applyFill="1" applyBorder="1"/>
    <xf numFmtId="164" fontId="18" fillId="3" borderId="1" xfId="0" applyNumberFormat="1" applyFont="1" applyFill="1" applyBorder="1" applyAlignment="1">
      <alignment horizontal="left"/>
    </xf>
    <xf numFmtId="164" fontId="6" fillId="0" borderId="1" xfId="0" applyNumberFormat="1" applyFont="1" applyBorder="1"/>
    <xf numFmtId="164" fontId="18" fillId="3" borderId="7" xfId="0" applyNumberFormat="1" applyFont="1" applyFill="1" applyBorder="1"/>
    <xf numFmtId="0" fontId="9" fillId="0" borderId="13" xfId="3" applyBorder="1" applyAlignment="1">
      <alignment horizontal="left" shrinkToFit="1"/>
    </xf>
    <xf numFmtId="0" fontId="9" fillId="0" borderId="13" xfId="3" applyBorder="1" applyAlignment="1">
      <alignment horizontal="left" vertical="top" shrinkToFit="1"/>
    </xf>
    <xf numFmtId="0" fontId="10" fillId="0" borderId="13" xfId="3" applyFont="1" applyBorder="1" applyAlignment="1">
      <alignment horizontal="left" vertical="top" shrinkToFit="1"/>
    </xf>
    <xf numFmtId="0" fontId="23" fillId="0" borderId="13" xfId="0" applyFont="1" applyBorder="1" applyAlignment="1">
      <alignment horizontal="left" vertical="center" shrinkToFit="1"/>
    </xf>
    <xf numFmtId="0" fontId="9" fillId="0" borderId="1" xfId="3" applyAlignment="1">
      <alignment shrinkToFit="1"/>
    </xf>
    <xf numFmtId="0" fontId="25" fillId="0" borderId="13" xfId="3" applyFont="1" applyBorder="1" applyAlignment="1">
      <alignment horizontal="left" wrapText="1" shrinkToFit="1"/>
    </xf>
    <xf numFmtId="0" fontId="10" fillId="0" borderId="13" xfId="3" applyFont="1" applyBorder="1" applyAlignment="1">
      <alignment horizontal="left" wrapText="1" shrinkToFit="1"/>
    </xf>
    <xf numFmtId="0" fontId="11" fillId="5" borderId="25" xfId="0" applyFont="1" applyFill="1" applyBorder="1" applyAlignment="1">
      <alignment horizontal="center" shrinkToFit="1"/>
    </xf>
    <xf numFmtId="0" fontId="12" fillId="5" borderId="26" xfId="0" applyFont="1" applyFill="1" applyBorder="1" applyAlignment="1">
      <alignment shrinkToFit="1"/>
    </xf>
    <xf numFmtId="0" fontId="12" fillId="5" borderId="27" xfId="0" applyFont="1" applyFill="1" applyBorder="1" applyAlignment="1">
      <alignment shrinkToFit="1"/>
    </xf>
    <xf numFmtId="0" fontId="38" fillId="5" borderId="22" xfId="0" applyFont="1" applyFill="1" applyBorder="1" applyAlignment="1">
      <alignment horizontal="center"/>
    </xf>
    <xf numFmtId="0" fontId="39" fillId="0" borderId="23" xfId="0" applyFont="1" applyBorder="1"/>
    <xf numFmtId="0" fontId="39" fillId="0" borderId="24" xfId="0" applyFont="1" applyBorder="1"/>
    <xf numFmtId="0" fontId="12" fillId="0" borderId="14" xfId="0" applyFont="1" applyBorder="1" applyAlignment="1" applyProtection="1">
      <alignment horizontal="center" shrinkToFit="1"/>
      <protection locked="0"/>
    </xf>
    <xf numFmtId="0" fontId="0" fillId="0" borderId="3" xfId="0" applyBorder="1" applyAlignment="1" applyProtection="1">
      <alignment horizontal="center" shrinkToFit="1"/>
      <protection locked="0"/>
    </xf>
    <xf numFmtId="0" fontId="0" fillId="0" borderId="38" xfId="0" applyBorder="1" applyAlignment="1" applyProtection="1">
      <alignment horizontal="center" shrinkToFit="1"/>
      <protection locked="0"/>
    </xf>
    <xf numFmtId="0" fontId="15" fillId="4" borderId="37" xfId="0" applyFont="1" applyFill="1" applyBorder="1" applyAlignment="1">
      <alignment horizontal="right"/>
    </xf>
    <xf numFmtId="0" fontId="14" fillId="0" borderId="15" xfId="0" applyFont="1" applyBorder="1" applyAlignment="1">
      <alignment horizontal="right"/>
    </xf>
    <xf numFmtId="0" fontId="14" fillId="0" borderId="16" xfId="0" applyFont="1" applyBorder="1" applyAlignment="1" applyProtection="1">
      <alignment horizontal="center" shrinkToFit="1"/>
      <protection locked="0"/>
    </xf>
    <xf numFmtId="0" fontId="29" fillId="0" borderId="17" xfId="0" applyFont="1" applyBorder="1" applyAlignment="1" applyProtection="1">
      <alignment horizontal="center" shrinkToFit="1"/>
      <protection locked="0"/>
    </xf>
    <xf numFmtId="0" fontId="29" fillId="0" borderId="36" xfId="0" applyFont="1" applyBorder="1" applyAlignment="1" applyProtection="1">
      <alignment horizontal="center" shrinkToFit="1"/>
      <protection locked="0"/>
    </xf>
    <xf numFmtId="0" fontId="28" fillId="5" borderId="28" xfId="0" applyFont="1" applyFill="1" applyBorder="1" applyAlignment="1">
      <alignment horizontal="center" vertical="center"/>
    </xf>
    <xf numFmtId="0" fontId="35" fillId="0" borderId="29" xfId="0" applyFont="1" applyBorder="1" applyAlignment="1">
      <alignment vertical="center"/>
    </xf>
    <xf numFmtId="0" fontId="0" fillId="0" borderId="29" xfId="0" applyBorder="1" applyAlignment="1">
      <alignment vertical="center"/>
    </xf>
    <xf numFmtId="0" fontId="0" fillId="0" borderId="30" xfId="0" applyBorder="1" applyAlignment="1">
      <alignment vertical="center"/>
    </xf>
    <xf numFmtId="49" fontId="14" fillId="2" borderId="6" xfId="0" applyNumberFormat="1" applyFont="1" applyFill="1" applyBorder="1" applyAlignment="1" applyProtection="1">
      <alignment horizontal="center" shrinkToFit="1"/>
      <protection locked="0"/>
    </xf>
    <xf numFmtId="49" fontId="14" fillId="0" borderId="34" xfId="0" applyNumberFormat="1" applyFont="1" applyBorder="1" applyAlignment="1" applyProtection="1">
      <alignment horizontal="center" shrinkToFit="1"/>
      <protection locked="0"/>
    </xf>
    <xf numFmtId="0" fontId="15" fillId="4" borderId="33" xfId="0" applyFont="1" applyFill="1" applyBorder="1" applyAlignment="1">
      <alignment horizontal="right"/>
    </xf>
    <xf numFmtId="0" fontId="14" fillId="0" borderId="6" xfId="0" applyFont="1" applyBorder="1" applyAlignment="1">
      <alignment horizontal="right"/>
    </xf>
    <xf numFmtId="0" fontId="14" fillId="0" borderId="4" xfId="0" applyFont="1" applyBorder="1" applyAlignment="1" applyProtection="1">
      <alignment horizontal="center" shrinkToFit="1"/>
      <protection locked="0"/>
    </xf>
    <xf numFmtId="0" fontId="14" fillId="0" borderId="5" xfId="0" applyFont="1" applyBorder="1" applyAlignment="1" applyProtection="1">
      <alignment horizontal="center" shrinkToFit="1"/>
      <protection locked="0"/>
    </xf>
    <xf numFmtId="0" fontId="16" fillId="5" borderId="14" xfId="0" applyFont="1" applyFill="1" applyBorder="1" applyAlignment="1">
      <alignment horizontal="center" shrinkToFit="1"/>
    </xf>
    <xf numFmtId="0" fontId="0" fillId="0" borderId="15" xfId="0" applyBorder="1" applyAlignment="1">
      <alignment horizontal="center" shrinkToFit="1"/>
    </xf>
    <xf numFmtId="0" fontId="15" fillId="4" borderId="35" xfId="0" applyFont="1" applyFill="1" applyBorder="1" applyAlignment="1">
      <alignment horizontal="right"/>
    </xf>
    <xf numFmtId="0" fontId="14" fillId="0" borderId="2" xfId="0" applyFont="1" applyBorder="1" applyAlignment="1">
      <alignment horizontal="right"/>
    </xf>
    <xf numFmtId="0" fontId="16" fillId="3" borderId="7" xfId="0" applyFont="1" applyFill="1" applyBorder="1" applyAlignment="1" applyProtection="1">
      <alignment horizontal="center" shrinkToFit="1"/>
      <protection locked="0"/>
    </xf>
    <xf numFmtId="0" fontId="12" fillId="0" borderId="39" xfId="0" applyFont="1" applyBorder="1" applyAlignment="1" applyProtection="1">
      <alignment shrinkToFit="1"/>
      <protection locked="0"/>
    </xf>
    <xf numFmtId="0" fontId="15" fillId="4" borderId="35" xfId="0" applyFont="1" applyFill="1" applyBorder="1" applyAlignment="1">
      <alignment horizontal="right" shrinkToFit="1"/>
    </xf>
    <xf numFmtId="0" fontId="14" fillId="0" borderId="2" xfId="0" applyFont="1" applyBorder="1" applyAlignment="1">
      <alignment horizontal="right" shrinkToFit="1"/>
    </xf>
    <xf numFmtId="0" fontId="15" fillId="4" borderId="41" xfId="0" applyFont="1" applyFill="1" applyBorder="1" applyAlignment="1">
      <alignment horizontal="right"/>
    </xf>
    <xf numFmtId="0" fontId="14" fillId="0" borderId="42" xfId="0" applyFont="1" applyBorder="1" applyAlignment="1">
      <alignment horizontal="right"/>
    </xf>
    <xf numFmtId="0" fontId="15" fillId="4" borderId="37" xfId="0" applyFont="1" applyFill="1" applyBorder="1" applyAlignment="1">
      <alignment horizontal="center"/>
    </xf>
    <xf numFmtId="0" fontId="0" fillId="0" borderId="15" xfId="0" applyBorder="1"/>
    <xf numFmtId="0" fontId="14" fillId="0" borderId="42" xfId="0" applyFont="1" applyBorder="1" applyAlignment="1" applyProtection="1">
      <alignment horizontal="center" shrinkToFit="1"/>
      <protection locked="0"/>
    </xf>
    <xf numFmtId="0" fontId="14" fillId="0" borderId="43" xfId="0" applyFont="1" applyBorder="1" applyAlignment="1" applyProtection="1">
      <alignment horizontal="center" shrinkToFit="1"/>
      <protection locked="0"/>
    </xf>
    <xf numFmtId="0" fontId="15" fillId="4" borderId="28" xfId="0" applyFont="1" applyFill="1" applyBorder="1" applyAlignment="1">
      <alignment horizontal="right" shrinkToFit="1"/>
    </xf>
    <xf numFmtId="0" fontId="15" fillId="4" borderId="29" xfId="0" applyFont="1" applyFill="1" applyBorder="1" applyAlignment="1">
      <alignment horizontal="right" shrinkToFit="1"/>
    </xf>
    <xf numFmtId="0" fontId="12" fillId="7" borderId="28" xfId="0" applyFont="1" applyFill="1" applyBorder="1" applyAlignment="1" applyProtection="1">
      <alignment horizontal="center" shrinkToFit="1"/>
      <protection locked="0" hidden="1"/>
    </xf>
    <xf numFmtId="0" fontId="12" fillId="7" borderId="29" xfId="0" applyFont="1" applyFill="1" applyBorder="1" applyAlignment="1" applyProtection="1">
      <alignment horizontal="center" shrinkToFit="1"/>
      <protection locked="0" hidden="1"/>
    </xf>
    <xf numFmtId="0" fontId="12" fillId="7" borderId="30" xfId="0" applyFont="1" applyFill="1" applyBorder="1" applyAlignment="1" applyProtection="1">
      <alignment horizontal="center" shrinkToFit="1"/>
      <protection locked="0" hidden="1"/>
    </xf>
    <xf numFmtId="0" fontId="15" fillId="4" borderId="28" xfId="0" applyFont="1" applyFill="1" applyBorder="1" applyAlignment="1">
      <alignment horizontal="right"/>
    </xf>
    <xf numFmtId="0" fontId="15" fillId="4" borderId="29" xfId="0" applyFont="1" applyFill="1" applyBorder="1" applyAlignment="1">
      <alignment horizontal="right"/>
    </xf>
    <xf numFmtId="0" fontId="12" fillId="7" borderId="52" xfId="0" applyFont="1" applyFill="1" applyBorder="1" applyAlignment="1" applyProtection="1">
      <alignment horizontal="center" shrinkToFit="1"/>
      <protection locked="0" hidden="1"/>
    </xf>
    <xf numFmtId="0" fontId="12" fillId="0" borderId="7" xfId="0" applyFont="1" applyBorder="1" applyAlignment="1" applyProtection="1">
      <alignment horizontal="center" shrinkToFit="1"/>
      <protection locked="0"/>
    </xf>
    <xf numFmtId="0" fontId="0" fillId="0" borderId="1" xfId="0" applyBorder="1" applyAlignment="1" applyProtection="1">
      <alignment horizontal="center" shrinkToFit="1"/>
      <protection locked="0"/>
    </xf>
    <xf numFmtId="0" fontId="0" fillId="0" borderId="39" xfId="0" applyBorder="1" applyAlignment="1" applyProtection="1">
      <alignment horizontal="center" shrinkToFit="1"/>
      <protection locked="0"/>
    </xf>
    <xf numFmtId="0" fontId="14" fillId="3" borderId="44" xfId="0" applyFont="1" applyFill="1" applyBorder="1" applyAlignment="1" applyProtection="1">
      <alignment horizontal="center"/>
      <protection locked="0" hidden="1"/>
    </xf>
    <xf numFmtId="0" fontId="14" fillId="0" borderId="21" xfId="0" applyFont="1" applyBorder="1" applyProtection="1">
      <protection locked="0" hidden="1"/>
    </xf>
    <xf numFmtId="0" fontId="14" fillId="0" borderId="6" xfId="0" applyFont="1" applyBorder="1" applyProtection="1">
      <protection locked="0" hidden="1"/>
    </xf>
    <xf numFmtId="0" fontId="14" fillId="0" borderId="34" xfId="0" applyFont="1" applyBorder="1" applyProtection="1">
      <protection locked="0" hidden="1"/>
    </xf>
    <xf numFmtId="0" fontId="14" fillId="0" borderId="1" xfId="0" applyFont="1" applyBorder="1" applyAlignment="1">
      <alignment horizontal="left" vertical="center"/>
    </xf>
    <xf numFmtId="0" fontId="29" fillId="0" borderId="1" xfId="0" applyFont="1" applyBorder="1" applyAlignment="1">
      <alignment horizontal="left" vertical="center"/>
    </xf>
    <xf numFmtId="0" fontId="15" fillId="4" borderId="45" xfId="0" applyFont="1" applyFill="1" applyBorder="1" applyAlignment="1">
      <alignment horizontal="center"/>
    </xf>
    <xf numFmtId="0" fontId="14" fillId="0" borderId="46" xfId="0" applyFont="1" applyBorder="1"/>
    <xf numFmtId="0" fontId="37" fillId="0" borderId="46" xfId="0" applyFont="1" applyBorder="1" applyAlignment="1" applyProtection="1">
      <alignment horizontal="center" shrinkToFit="1"/>
      <protection locked="0" hidden="1"/>
    </xf>
    <xf numFmtId="0" fontId="37" fillId="0" borderId="47" xfId="0" applyFont="1" applyBorder="1" applyAlignment="1" applyProtection="1">
      <alignment horizontal="center" shrinkToFit="1"/>
      <protection locked="0" hidden="1"/>
    </xf>
    <xf numFmtId="0" fontId="15" fillId="4" borderId="46" xfId="0" applyFont="1" applyFill="1" applyBorder="1" applyAlignment="1">
      <alignment horizontal="center"/>
    </xf>
    <xf numFmtId="0" fontId="28" fillId="5" borderId="22" xfId="0" applyFont="1" applyFill="1" applyBorder="1" applyAlignment="1">
      <alignment horizontal="center" vertical="center"/>
    </xf>
    <xf numFmtId="0" fontId="26" fillId="0" borderId="23" xfId="0" applyFont="1" applyBorder="1" applyAlignment="1">
      <alignment vertical="center"/>
    </xf>
    <xf numFmtId="0" fontId="26" fillId="0" borderId="24" xfId="0" applyFont="1" applyBorder="1" applyAlignment="1">
      <alignment vertical="center"/>
    </xf>
    <xf numFmtId="0" fontId="36" fillId="4" borderId="33" xfId="0" applyFont="1" applyFill="1" applyBorder="1" applyAlignment="1">
      <alignment horizontal="center"/>
    </xf>
    <xf numFmtId="0" fontId="36" fillId="0" borderId="6" xfId="0" applyFont="1" applyBorder="1"/>
    <xf numFmtId="0" fontId="36" fillId="0" borderId="34" xfId="0" applyFont="1" applyBorder="1"/>
    <xf numFmtId="0" fontId="14" fillId="3" borderId="45" xfId="0" applyFont="1" applyFill="1" applyBorder="1" applyAlignment="1" applyProtection="1">
      <alignment horizontal="center"/>
      <protection locked="0" hidden="1"/>
    </xf>
    <xf numFmtId="0" fontId="14" fillId="0" borderId="46" xfId="0" applyFont="1" applyBorder="1" applyProtection="1">
      <protection locked="0" hidden="1"/>
    </xf>
    <xf numFmtId="0" fontId="14" fillId="0" borderId="47" xfId="0" applyFont="1" applyBorder="1" applyProtection="1">
      <protection locked="0" hidden="1"/>
    </xf>
    <xf numFmtId="0" fontId="14" fillId="0" borderId="33" xfId="0" applyFont="1" applyBorder="1" applyAlignment="1" applyProtection="1">
      <alignment horizontal="center"/>
      <protection locked="0" hidden="1"/>
    </xf>
    <xf numFmtId="0" fontId="14" fillId="2" borderId="41" xfId="0" applyFont="1" applyFill="1" applyBorder="1" applyAlignment="1" applyProtection="1">
      <alignment horizontal="center"/>
      <protection locked="0" hidden="1"/>
    </xf>
    <xf numFmtId="0" fontId="14" fillId="0" borderId="42" xfId="0" applyFont="1" applyBorder="1" applyProtection="1">
      <protection locked="0" hidden="1"/>
    </xf>
    <xf numFmtId="0" fontId="14" fillId="0" borderId="43" xfId="0" applyFont="1" applyBorder="1" applyProtection="1">
      <protection locked="0" hidden="1"/>
    </xf>
    <xf numFmtId="0" fontId="37" fillId="2" borderId="35" xfId="0" applyFont="1" applyFill="1" applyBorder="1" applyAlignment="1" applyProtection="1">
      <alignment horizontal="center"/>
      <protection locked="0" hidden="1"/>
    </xf>
    <xf numFmtId="0" fontId="37" fillId="0" borderId="2" xfId="0" applyFont="1" applyBorder="1" applyProtection="1">
      <protection locked="0" hidden="1"/>
    </xf>
    <xf numFmtId="0" fontId="37" fillId="0" borderId="32" xfId="0" applyFont="1" applyBorder="1" applyProtection="1">
      <protection locked="0" hidden="1"/>
    </xf>
    <xf numFmtId="0" fontId="26" fillId="0" borderId="29" xfId="0" applyFont="1" applyBorder="1" applyAlignment="1">
      <alignment vertical="center"/>
    </xf>
    <xf numFmtId="0" fontId="26" fillId="0" borderId="30" xfId="0" applyFont="1" applyBorder="1" applyAlignment="1">
      <alignment vertical="center"/>
    </xf>
    <xf numFmtId="0" fontId="0" fillId="0" borderId="3" xfId="0" applyBorder="1" applyAlignment="1" applyProtection="1">
      <alignment horizontal="center"/>
      <protection locked="0" hidden="1"/>
    </xf>
    <xf numFmtId="0" fontId="0" fillId="0" borderId="38" xfId="0" applyBorder="1" applyAlignment="1" applyProtection="1">
      <alignment horizontal="center"/>
      <protection locked="0" hidden="1"/>
    </xf>
    <xf numFmtId="0" fontId="35" fillId="0" borderId="50" xfId="0" applyFont="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9" fillId="6" borderId="19" xfId="3" applyFill="1" applyBorder="1" applyAlignment="1">
      <alignment horizontal="center" vertical="center"/>
    </xf>
    <xf numFmtId="0" fontId="26" fillId="6" borderId="20" xfId="3" applyFont="1" applyFill="1" applyBorder="1" applyAlignment="1">
      <alignment horizontal="center" vertical="center"/>
    </xf>
    <xf numFmtId="0" fontId="26" fillId="6" borderId="12" xfId="3" applyFont="1" applyFill="1" applyBorder="1" applyAlignment="1">
      <alignment horizontal="center" vertical="center"/>
    </xf>
    <xf numFmtId="0" fontId="26" fillId="6" borderId="18" xfId="3" applyFont="1" applyFill="1" applyBorder="1" applyAlignment="1">
      <alignment horizontal="center" vertical="center"/>
    </xf>
    <xf numFmtId="0" fontId="14" fillId="6" borderId="19" xfId="2" applyFont="1" applyFill="1" applyBorder="1" applyAlignment="1">
      <alignment horizontal="center" vertical="center" wrapText="1"/>
    </xf>
    <xf numFmtId="0" fontId="14" fillId="6" borderId="20" xfId="2" applyFont="1" applyFill="1" applyBorder="1" applyAlignment="1">
      <alignment horizontal="center" vertical="center" wrapText="1"/>
    </xf>
    <xf numFmtId="0" fontId="15" fillId="0" borderId="12" xfId="2" applyFont="1" applyBorder="1" applyAlignment="1">
      <alignment horizontal="center" vertical="center"/>
    </xf>
    <xf numFmtId="0" fontId="24" fillId="0" borderId="18" xfId="0" applyFont="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6" fillId="6" borderId="12" xfId="3" applyFont="1" applyFill="1" applyBorder="1" applyAlignment="1">
      <alignment horizontal="center" vertical="center" shrinkToFit="1"/>
    </xf>
    <xf numFmtId="0" fontId="26" fillId="6" borderId="18" xfId="3" applyFont="1" applyFill="1" applyBorder="1" applyAlignment="1">
      <alignment horizontal="center" vertical="center" shrinkToFit="1"/>
    </xf>
  </cellXfs>
  <cellStyles count="4">
    <cellStyle name="Normal" xfId="0" builtinId="0"/>
    <cellStyle name="Normal 2" xfId="3" xr:uid="{00000000-0005-0000-0000-000001000000}"/>
    <cellStyle name="Normal 3" xfId="1" xr:uid="{00000000-0005-0000-0000-000002000000}"/>
    <cellStyle name="Normal 3 2" xfId="2" xr:uid="{00000000-0005-0000-0000-000003000000}"/>
  </cellStyles>
  <dxfs count="8">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9" defaultPivotStyle="PivotStyleLight16"/>
  <colors>
    <mruColors>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onet/depts/Documents%20and%20Settings/jlopez/Local%20Settings/Temporary%20Internet%20Files/Content.Outlook/UJJH20IZ/SOP0008%2001-Calibration%20Assessment%20Form%2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ibration Assessment Form"/>
      <sheetName val="Diagram - Evaluation (Guidance)"/>
      <sheetName val="Cal Assessment Form (Guidance)"/>
    </sheetNames>
    <sheetDataSet>
      <sheetData sheetId="0">
        <row r="2">
          <cell r="N2" t="str">
            <v>Calibration_Required</v>
          </cell>
        </row>
        <row r="3">
          <cell r="N3" t="str">
            <v>Calibration_Not_Required</v>
          </cell>
        </row>
      </sheetData>
      <sheetData sheetId="1"/>
      <sheetData sheetId="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B1053"/>
  <sheetViews>
    <sheetView showGridLines="0" tabSelected="1" zoomScale="110" zoomScaleNormal="110" workbookViewId="0">
      <selection activeCell="H5" sqref="H5"/>
    </sheetView>
  </sheetViews>
  <sheetFormatPr baseColWidth="10" defaultColWidth="8.83203125" defaultRowHeight="15" x14ac:dyDescent="0.2"/>
  <cols>
    <col min="1" max="1" width="6.6640625" style="2" customWidth="1"/>
    <col min="2" max="2" width="14.5" style="2" customWidth="1"/>
    <col min="3" max="3" width="32" style="2" customWidth="1"/>
    <col min="4" max="4" width="17.5" style="2" customWidth="1"/>
    <col min="5" max="5" width="29.5" style="2" customWidth="1"/>
    <col min="6" max="6" width="10.6640625" style="2" customWidth="1"/>
    <col min="7" max="7" width="8.5" style="2" bestFit="1" customWidth="1"/>
    <col min="8" max="8" width="13.5" style="2" customWidth="1"/>
    <col min="9" max="9" width="26.33203125" style="79" bestFit="1" customWidth="1"/>
    <col min="10" max="10" width="85.83203125" style="43" bestFit="1" customWidth="1"/>
    <col min="11" max="11" width="104.5" style="67" bestFit="1" customWidth="1"/>
    <col min="12" max="12" width="19.5" style="67" bestFit="1" customWidth="1"/>
    <col min="13" max="13" width="80.1640625" style="43" bestFit="1" customWidth="1"/>
    <col min="14" max="40" width="9.5" style="22" customWidth="1"/>
    <col min="41" max="48" width="9.5" style="23" customWidth="1"/>
    <col min="49" max="50" width="9.5" style="24" customWidth="1"/>
    <col min="51" max="51" width="9.5" style="25" customWidth="1"/>
    <col min="52" max="54" width="9.1640625" style="5"/>
  </cols>
  <sheetData>
    <row r="1" spans="1:54" ht="16" thickBot="1" x14ac:dyDescent="0.25">
      <c r="B1" s="140" t="s">
        <v>145</v>
      </c>
      <c r="C1" s="141"/>
      <c r="D1" s="141"/>
      <c r="E1" s="141"/>
      <c r="F1" s="141"/>
      <c r="G1" s="141"/>
      <c r="H1" s="141"/>
      <c r="I1" s="53" t="s">
        <v>51</v>
      </c>
      <c r="J1" s="54" t="s">
        <v>57</v>
      </c>
      <c r="K1" s="55" t="s">
        <v>58</v>
      </c>
      <c r="L1" s="56" t="s">
        <v>68</v>
      </c>
    </row>
    <row r="2" spans="1:54" ht="16" thickTop="1" x14ac:dyDescent="0.2">
      <c r="A2" s="3"/>
      <c r="B2" s="141"/>
      <c r="C2" s="141"/>
      <c r="D2" s="141"/>
      <c r="E2" s="141"/>
      <c r="F2" s="141"/>
      <c r="G2" s="141"/>
      <c r="H2" s="141"/>
      <c r="I2" s="57" t="s">
        <v>55</v>
      </c>
      <c r="J2" s="58" t="s">
        <v>71</v>
      </c>
      <c r="K2" s="59" t="s">
        <v>72</v>
      </c>
      <c r="L2" s="60" t="s">
        <v>68</v>
      </c>
      <c r="N2" s="51"/>
      <c r="AO2" s="22"/>
      <c r="AP2" s="22"/>
      <c r="AQ2" s="22"/>
      <c r="AZ2" s="25"/>
      <c r="BA2" s="25"/>
      <c r="BB2" s="25"/>
    </row>
    <row r="3" spans="1:54" ht="16" x14ac:dyDescent="0.2">
      <c r="B3" s="141"/>
      <c r="C3" s="141"/>
      <c r="D3" s="141"/>
      <c r="E3" s="141"/>
      <c r="F3" s="141"/>
      <c r="G3" s="141"/>
      <c r="H3" s="141"/>
      <c r="I3" s="57" t="s">
        <v>56</v>
      </c>
      <c r="J3" s="59" t="s">
        <v>115</v>
      </c>
      <c r="K3" s="59" t="s">
        <v>116</v>
      </c>
      <c r="L3" s="61"/>
      <c r="M3" s="43" t="s">
        <v>49</v>
      </c>
      <c r="N3" s="51"/>
      <c r="AO3" s="22"/>
      <c r="AP3" s="22"/>
      <c r="AQ3" s="22"/>
      <c r="AZ3" s="25"/>
      <c r="BA3" s="25"/>
      <c r="BB3" s="25"/>
    </row>
    <row r="4" spans="1:54" ht="12" customHeight="1" thickBot="1" x14ac:dyDescent="0.25">
      <c r="B4" s="141"/>
      <c r="C4" s="141"/>
      <c r="D4" s="141"/>
      <c r="E4" s="141"/>
      <c r="F4" s="141"/>
      <c r="G4" s="141"/>
      <c r="H4" s="141"/>
      <c r="I4" s="62" t="s">
        <v>68</v>
      </c>
      <c r="J4" s="58" t="s">
        <v>73</v>
      </c>
      <c r="K4" s="59" t="s">
        <v>149</v>
      </c>
      <c r="L4" s="61"/>
      <c r="M4" s="43" t="s">
        <v>112</v>
      </c>
      <c r="N4" s="51"/>
      <c r="AO4" s="22"/>
      <c r="AP4" s="22"/>
      <c r="AQ4" s="22"/>
      <c r="AZ4" s="25"/>
      <c r="BA4" s="25"/>
      <c r="BB4" s="25"/>
    </row>
    <row r="5" spans="1:54" ht="30" customHeight="1" thickTop="1" thickBot="1" x14ac:dyDescent="0.3">
      <c r="B5" s="90" t="s">
        <v>35</v>
      </c>
      <c r="C5" s="91"/>
      <c r="D5" s="91"/>
      <c r="E5" s="91"/>
      <c r="F5" s="92"/>
      <c r="G5" s="26" t="s">
        <v>0</v>
      </c>
      <c r="H5" s="27">
        <v>88765</v>
      </c>
      <c r="I5" s="62" t="s">
        <v>148</v>
      </c>
      <c r="J5" s="58" t="s">
        <v>109</v>
      </c>
      <c r="K5" s="59" t="s">
        <v>68</v>
      </c>
      <c r="L5" s="61"/>
      <c r="M5" s="43" t="s">
        <v>113</v>
      </c>
      <c r="N5" s="51"/>
      <c r="AO5" s="22"/>
      <c r="AP5" s="22"/>
      <c r="AQ5" s="22"/>
      <c r="AZ5" s="25"/>
      <c r="BA5" s="25"/>
      <c r="BB5" s="25"/>
    </row>
    <row r="6" spans="1:54" ht="30" customHeight="1" thickBot="1" x14ac:dyDescent="0.25">
      <c r="B6" s="87" t="s">
        <v>138</v>
      </c>
      <c r="C6" s="88"/>
      <c r="D6" s="88"/>
      <c r="E6" s="88"/>
      <c r="F6" s="89"/>
      <c r="G6" s="28" t="s">
        <v>1</v>
      </c>
      <c r="H6" s="29" t="s">
        <v>152</v>
      </c>
      <c r="I6" s="63"/>
      <c r="J6" s="58" t="s">
        <v>68</v>
      </c>
      <c r="K6" s="59" t="s">
        <v>148</v>
      </c>
      <c r="L6" s="60"/>
      <c r="M6" s="43" t="s">
        <v>111</v>
      </c>
      <c r="N6" s="51"/>
      <c r="AO6" s="22"/>
      <c r="AP6" s="22"/>
      <c r="AQ6" s="22"/>
      <c r="AZ6" s="25"/>
      <c r="BA6" s="25"/>
      <c r="BB6" s="25"/>
    </row>
    <row r="7" spans="1:54" s="12" customFormat="1" ht="30" customHeight="1" thickTop="1" thickBot="1" x14ac:dyDescent="0.2">
      <c r="A7" s="9"/>
      <c r="B7" s="101" t="s">
        <v>133</v>
      </c>
      <c r="C7" s="102"/>
      <c r="D7" s="102"/>
      <c r="E7" s="102"/>
      <c r="F7" s="102"/>
      <c r="G7" s="103"/>
      <c r="H7" s="104"/>
      <c r="I7" s="64"/>
      <c r="J7" s="58" t="s">
        <v>148</v>
      </c>
      <c r="K7" s="65"/>
      <c r="L7" s="65"/>
      <c r="M7" s="65" t="s">
        <v>148</v>
      </c>
      <c r="N7" s="52"/>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1"/>
      <c r="AS7" s="11"/>
      <c r="AT7" s="11"/>
      <c r="AU7" s="11"/>
      <c r="AV7" s="11"/>
      <c r="AW7" s="17"/>
      <c r="AX7" s="17"/>
      <c r="AY7" s="18"/>
      <c r="AZ7" s="18"/>
      <c r="BA7" s="18"/>
      <c r="BB7" s="18"/>
    </row>
    <row r="8" spans="1:54" ht="25" customHeight="1" thickTop="1" thickBot="1" x14ac:dyDescent="0.25">
      <c r="B8" s="107" t="s">
        <v>63</v>
      </c>
      <c r="C8" s="108"/>
      <c r="D8" s="109" t="s">
        <v>160</v>
      </c>
      <c r="E8" s="110"/>
      <c r="F8" s="30" t="s">
        <v>37</v>
      </c>
      <c r="G8" s="105" t="s">
        <v>159</v>
      </c>
      <c r="H8" s="106"/>
      <c r="I8" s="66"/>
      <c r="J8" s="58"/>
      <c r="N8" s="51"/>
      <c r="AO8" s="22"/>
      <c r="AP8" s="22"/>
      <c r="AQ8" s="22"/>
      <c r="AZ8" s="25"/>
      <c r="BA8" s="25"/>
      <c r="BB8" s="25"/>
    </row>
    <row r="9" spans="1:54" ht="25" customHeight="1" thickBot="1" x14ac:dyDescent="0.25">
      <c r="B9" s="117" t="s">
        <v>66</v>
      </c>
      <c r="C9" s="118"/>
      <c r="D9" s="98"/>
      <c r="E9" s="99"/>
      <c r="F9" s="99"/>
      <c r="G9" s="99"/>
      <c r="H9" s="100"/>
      <c r="I9" s="66"/>
      <c r="M9" s="68"/>
      <c r="N9" s="51"/>
      <c r="AO9" s="22"/>
      <c r="AP9" s="22"/>
      <c r="AQ9" s="22"/>
      <c r="AZ9" s="25"/>
      <c r="BA9" s="25"/>
      <c r="BB9" s="25"/>
    </row>
    <row r="10" spans="1:54" ht="25" customHeight="1" thickBot="1" x14ac:dyDescent="0.25">
      <c r="B10" s="119" t="s">
        <v>64</v>
      </c>
      <c r="C10" s="120"/>
      <c r="D10" s="123" t="s">
        <v>153</v>
      </c>
      <c r="E10" s="123"/>
      <c r="F10" s="123"/>
      <c r="G10" s="123"/>
      <c r="H10" s="124"/>
      <c r="I10" s="60"/>
    </row>
    <row r="11" spans="1:54" ht="30" customHeight="1" thickTop="1" x14ac:dyDescent="0.2">
      <c r="B11" s="147" t="s">
        <v>134</v>
      </c>
      <c r="C11" s="148"/>
      <c r="D11" s="148"/>
      <c r="E11" s="148"/>
      <c r="F11" s="148"/>
      <c r="G11" s="148"/>
      <c r="H11" s="149"/>
      <c r="I11" s="60"/>
    </row>
    <row r="12" spans="1:54" ht="16" thickBot="1" x14ac:dyDescent="0.25">
      <c r="B12" s="150" t="s">
        <v>114</v>
      </c>
      <c r="C12" s="151"/>
      <c r="D12" s="151"/>
      <c r="E12" s="151"/>
      <c r="F12" s="151"/>
      <c r="G12" s="151"/>
      <c r="H12" s="152"/>
      <c r="I12" s="62" t="s">
        <v>142</v>
      </c>
      <c r="J12" s="69"/>
    </row>
    <row r="13" spans="1:54" ht="25" customHeight="1" thickBot="1" x14ac:dyDescent="0.25">
      <c r="B13" s="121" t="s">
        <v>128</v>
      </c>
      <c r="C13" s="122"/>
      <c r="D13" s="31" t="s">
        <v>53</v>
      </c>
      <c r="E13" s="111" t="s">
        <v>129</v>
      </c>
      <c r="F13" s="112"/>
      <c r="G13" s="165"/>
      <c r="H13" s="166"/>
      <c r="I13" s="62" t="s">
        <v>52</v>
      </c>
      <c r="J13" s="69"/>
    </row>
    <row r="14" spans="1:54" ht="25" customHeight="1" thickBot="1" x14ac:dyDescent="0.25">
      <c r="B14" s="113" t="s">
        <v>118</v>
      </c>
      <c r="C14" s="114"/>
      <c r="D14" s="93" t="s">
        <v>157</v>
      </c>
      <c r="E14" s="94"/>
      <c r="F14" s="94"/>
      <c r="G14" s="94"/>
      <c r="H14" s="95"/>
      <c r="I14" s="62" t="s">
        <v>53</v>
      </c>
      <c r="J14" s="67"/>
    </row>
    <row r="15" spans="1:54" s="8" customFormat="1" ht="25" customHeight="1" thickBot="1" x14ac:dyDescent="0.3">
      <c r="A15" s="7"/>
      <c r="B15" s="96" t="s">
        <v>131</v>
      </c>
      <c r="C15" s="97"/>
      <c r="D15" s="93" t="s">
        <v>154</v>
      </c>
      <c r="E15" s="94"/>
      <c r="F15" s="94"/>
      <c r="G15" s="94"/>
      <c r="H15" s="95"/>
      <c r="I15" s="70"/>
      <c r="J15" s="71"/>
      <c r="K15" s="71"/>
      <c r="L15" s="71"/>
      <c r="M15" s="7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3"/>
      <c r="AP15" s="33"/>
      <c r="AQ15" s="33"/>
      <c r="AR15" s="33"/>
      <c r="AS15" s="33"/>
      <c r="AT15" s="33"/>
      <c r="AU15" s="33"/>
      <c r="AV15" s="33"/>
      <c r="AW15" s="34"/>
      <c r="AX15" s="34"/>
      <c r="AY15" s="35"/>
      <c r="AZ15" s="19"/>
      <c r="BA15" s="19"/>
      <c r="BB15" s="19"/>
    </row>
    <row r="16" spans="1:54" s="8" customFormat="1" ht="25" customHeight="1" thickTop="1" thickBot="1" x14ac:dyDescent="0.3">
      <c r="A16" s="7"/>
      <c r="B16" s="130" t="s">
        <v>130</v>
      </c>
      <c r="C16" s="131"/>
      <c r="D16" s="36" t="s">
        <v>52</v>
      </c>
      <c r="E16" s="132" t="str">
        <f>IF(D16="","&lt;-- Select Yes/No/NA",IF(D16="No","IMTE is NOT suitable for Process/Task", "IMTE is suitable for Process/Task"))</f>
        <v>IMTE is suitable for Process/Task</v>
      </c>
      <c r="F16" s="132"/>
      <c r="G16" s="132"/>
      <c r="H16" s="132"/>
      <c r="I16" s="73"/>
      <c r="J16" s="71"/>
      <c r="K16" s="71"/>
      <c r="L16" s="71"/>
      <c r="M16" s="7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3"/>
      <c r="AP16" s="33"/>
      <c r="AQ16" s="33"/>
      <c r="AR16" s="33"/>
      <c r="AS16" s="33"/>
      <c r="AT16" s="33"/>
      <c r="AU16" s="33"/>
      <c r="AV16" s="33"/>
      <c r="AW16" s="34"/>
      <c r="AX16" s="34"/>
      <c r="AY16" s="35"/>
      <c r="AZ16" s="19"/>
      <c r="BA16" s="19"/>
      <c r="BB16" s="19"/>
    </row>
    <row r="17" spans="1:54" ht="25" customHeight="1" thickTop="1" thickBot="1" x14ac:dyDescent="0.25">
      <c r="B17" s="113" t="s">
        <v>135</v>
      </c>
      <c r="C17" s="114"/>
      <c r="D17" s="133" t="s">
        <v>156</v>
      </c>
      <c r="E17" s="134"/>
      <c r="F17" s="134"/>
      <c r="G17" s="134"/>
      <c r="H17" s="135"/>
      <c r="I17" s="74"/>
      <c r="J17" s="67"/>
    </row>
    <row r="18" spans="1:54" s="8" customFormat="1" ht="25" customHeight="1" thickBot="1" x14ac:dyDescent="0.3">
      <c r="A18" s="7"/>
      <c r="B18" s="96" t="s">
        <v>136</v>
      </c>
      <c r="C18" s="97"/>
      <c r="D18" s="93" t="s">
        <v>155</v>
      </c>
      <c r="E18" s="94"/>
      <c r="F18" s="94"/>
      <c r="G18" s="94"/>
      <c r="H18" s="95"/>
      <c r="I18" s="70"/>
      <c r="J18" s="71"/>
      <c r="K18" s="71"/>
      <c r="L18" s="71"/>
      <c r="M18" s="7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3"/>
      <c r="AP18" s="33"/>
      <c r="AQ18" s="33"/>
      <c r="AR18" s="33"/>
      <c r="AS18" s="33"/>
      <c r="AT18" s="33"/>
      <c r="AU18" s="33"/>
      <c r="AV18" s="33"/>
      <c r="AW18" s="34"/>
      <c r="AX18" s="34"/>
      <c r="AY18" s="35"/>
      <c r="AZ18" s="19"/>
      <c r="BA18" s="19"/>
      <c r="BB18" s="19"/>
    </row>
    <row r="19" spans="1:54" s="8" customFormat="1" ht="25" customHeight="1" thickTop="1" thickBot="1" x14ac:dyDescent="0.3">
      <c r="A19" s="7"/>
      <c r="B19" s="125" t="s">
        <v>137</v>
      </c>
      <c r="C19" s="126"/>
      <c r="D19" s="36" t="s">
        <v>52</v>
      </c>
      <c r="E19" s="127" t="str">
        <f>IF(D19="","&lt;-- Select Yes/No/NA",IF(D19="No","IMTE is NOT suitable for Process/Task","IMTE is suitable for Process/Task"))</f>
        <v>IMTE is suitable for Process/Task</v>
      </c>
      <c r="F19" s="128"/>
      <c r="G19" s="128"/>
      <c r="H19" s="129"/>
      <c r="I19" s="73"/>
      <c r="J19" s="71"/>
      <c r="K19" s="71"/>
      <c r="L19" s="71"/>
      <c r="M19" s="7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3"/>
      <c r="AP19" s="33"/>
      <c r="AQ19" s="33"/>
      <c r="AR19" s="33"/>
      <c r="AS19" s="33"/>
      <c r="AT19" s="33"/>
      <c r="AU19" s="33"/>
      <c r="AV19" s="33"/>
      <c r="AW19" s="34"/>
      <c r="AX19" s="34"/>
      <c r="AY19" s="35"/>
      <c r="AZ19" s="19"/>
      <c r="BA19" s="19"/>
      <c r="BB19" s="19"/>
    </row>
    <row r="20" spans="1:54" ht="30" customHeight="1" thickTop="1" thickBot="1" x14ac:dyDescent="0.25">
      <c r="B20" s="101" t="s">
        <v>132</v>
      </c>
      <c r="C20" s="102"/>
      <c r="D20" s="167"/>
      <c r="E20" s="167"/>
      <c r="F20" s="167"/>
      <c r="G20" s="168"/>
      <c r="H20" s="169"/>
      <c r="I20" s="60"/>
      <c r="J20" s="60"/>
      <c r="K20" s="43"/>
      <c r="L20" s="43"/>
    </row>
    <row r="21" spans="1:54" ht="25" customHeight="1" thickTop="1" thickBot="1" x14ac:dyDescent="0.25">
      <c r="B21" s="37" t="s">
        <v>38</v>
      </c>
      <c r="C21" s="38" t="s">
        <v>48</v>
      </c>
      <c r="D21" s="39" t="s">
        <v>67</v>
      </c>
      <c r="E21" s="38" t="s">
        <v>26</v>
      </c>
      <c r="F21" s="40" t="s">
        <v>65</v>
      </c>
      <c r="G21" s="115" t="s">
        <v>158</v>
      </c>
      <c r="H21" s="116"/>
      <c r="I21" s="60"/>
      <c r="K21" s="43"/>
      <c r="L21" s="43"/>
    </row>
    <row r="22" spans="1:54" ht="30" customHeight="1" thickTop="1" thickBot="1" x14ac:dyDescent="0.25">
      <c r="B22" s="101" t="s">
        <v>2</v>
      </c>
      <c r="C22" s="102"/>
      <c r="D22" s="102"/>
      <c r="E22" s="102"/>
      <c r="F22" s="102"/>
      <c r="G22" s="103"/>
      <c r="H22" s="104"/>
      <c r="I22" s="60"/>
      <c r="J22" s="67"/>
      <c r="K22" s="43"/>
      <c r="L22" s="43"/>
    </row>
    <row r="23" spans="1:54" ht="25" customHeight="1" thickTop="1" thickBot="1" x14ac:dyDescent="0.25">
      <c r="B23" s="153" t="s">
        <v>49</v>
      </c>
      <c r="C23" s="154"/>
      <c r="D23" s="154"/>
      <c r="E23" s="154"/>
      <c r="F23" s="154"/>
      <c r="G23" s="154"/>
      <c r="H23" s="155"/>
      <c r="I23" s="60"/>
    </row>
    <row r="24" spans="1:54" ht="25" customHeight="1" thickTop="1" thickBot="1" x14ac:dyDescent="0.25">
      <c r="B24" s="136" t="str" cm="1">
        <f t="array" ref="B24">IF(OR(B23={"Initial Calibration Assessment (Enter N/A below)"}),"N/A",
IF(OR(B23={"Deactivate retired Equipment"}),"Attach proof of  Calibration or enter NC# or Discrepancy Request Unique Form # if calibration was not Performed",
IF(OR(B23={"Calibration Interval/Location/Status Change (Enter Justification/Comments below)"}),"Enter Justification/Comments Here",
IF(OR(B23={"Deactivate Lost Equipment "}), "Enter NC# or Discrepancy Request Unique Form #",
IF(OR(B23={"Select from dropdown list"}),"")))))</f>
        <v>N/A</v>
      </c>
      <c r="C24" s="137"/>
      <c r="D24" s="137"/>
      <c r="E24" s="137"/>
      <c r="F24" s="138"/>
      <c r="G24" s="138"/>
      <c r="H24" s="139"/>
      <c r="I24" s="60"/>
    </row>
    <row r="25" spans="1:54" ht="40" customHeight="1" thickTop="1" thickBot="1" x14ac:dyDescent="0.25">
      <c r="B25" s="101" t="s">
        <v>3</v>
      </c>
      <c r="C25" s="163"/>
      <c r="D25" s="163"/>
      <c r="E25" s="163"/>
      <c r="F25" s="163"/>
      <c r="G25" s="163"/>
      <c r="H25" s="164"/>
      <c r="I25" s="60"/>
    </row>
    <row r="26" spans="1:54" ht="25" customHeight="1" thickTop="1" thickBot="1" x14ac:dyDescent="0.25">
      <c r="B26" s="156" t="s">
        <v>55</v>
      </c>
      <c r="C26" s="138"/>
      <c r="D26" s="138"/>
      <c r="E26" s="138"/>
      <c r="F26" s="138"/>
      <c r="G26" s="138"/>
      <c r="H26" s="139"/>
      <c r="I26" s="60"/>
      <c r="AO26" s="6"/>
      <c r="AP26" s="6"/>
      <c r="AQ26" s="6"/>
      <c r="AR26" s="6"/>
      <c r="AS26" s="6"/>
      <c r="AT26" s="6"/>
      <c r="AU26" s="6"/>
      <c r="AV26" s="6"/>
      <c r="AW26" s="20"/>
      <c r="AX26" s="20"/>
      <c r="AY26" s="5"/>
    </row>
    <row r="27" spans="1:54" ht="25" customHeight="1" thickBot="1" x14ac:dyDescent="0.25">
      <c r="B27" s="160" t="s">
        <v>71</v>
      </c>
      <c r="C27" s="161"/>
      <c r="D27" s="161"/>
      <c r="E27" s="161"/>
      <c r="F27" s="161"/>
      <c r="G27" s="161"/>
      <c r="H27" s="162"/>
      <c r="I27" s="60"/>
      <c r="AO27" s="6"/>
      <c r="AP27" s="6"/>
      <c r="AQ27" s="6"/>
      <c r="AR27" s="6"/>
      <c r="AS27" s="6"/>
      <c r="AT27" s="6"/>
      <c r="AU27" s="6"/>
      <c r="AV27" s="6"/>
      <c r="AW27" s="20"/>
      <c r="AX27" s="20"/>
      <c r="AY27" s="5"/>
    </row>
    <row r="28" spans="1:54" ht="25" customHeight="1" thickBot="1" x14ac:dyDescent="0.25">
      <c r="B28" s="157" t="s">
        <v>142</v>
      </c>
      <c r="C28" s="158"/>
      <c r="D28" s="158"/>
      <c r="E28" s="158"/>
      <c r="F28" s="158"/>
      <c r="G28" s="158"/>
      <c r="H28" s="159"/>
      <c r="I28" s="60"/>
      <c r="AO28" s="6"/>
      <c r="AP28" s="6"/>
      <c r="AQ28" s="6"/>
      <c r="AR28" s="6"/>
      <c r="AS28" s="6"/>
      <c r="AT28" s="6"/>
      <c r="AU28" s="6"/>
      <c r="AV28" s="6"/>
      <c r="AW28" s="20"/>
      <c r="AX28" s="20"/>
      <c r="AY28" s="5"/>
    </row>
    <row r="29" spans="1:54" ht="30" customHeight="1" thickTop="1" thickBot="1" x14ac:dyDescent="0.2">
      <c r="B29" s="101" t="s">
        <v>39</v>
      </c>
      <c r="C29" s="163"/>
      <c r="D29" s="163"/>
      <c r="E29" s="163"/>
      <c r="F29" s="163"/>
      <c r="G29" s="163"/>
      <c r="H29" s="164"/>
      <c r="I29" s="60"/>
      <c r="AO29" s="6"/>
      <c r="AP29" s="6"/>
      <c r="AQ29" s="6"/>
      <c r="AR29" s="6"/>
      <c r="AS29" s="6"/>
      <c r="AT29" s="6"/>
      <c r="AU29" s="6"/>
      <c r="AV29" s="6"/>
      <c r="AW29" s="20"/>
      <c r="AX29" s="20"/>
      <c r="AY29" s="5"/>
    </row>
    <row r="30" spans="1:54" ht="25" customHeight="1" thickTop="1" thickBot="1" x14ac:dyDescent="0.25">
      <c r="B30" s="142" t="s">
        <v>45</v>
      </c>
      <c r="C30" s="143"/>
      <c r="D30" s="41" t="s">
        <v>46</v>
      </c>
      <c r="E30" s="146" t="s">
        <v>8</v>
      </c>
      <c r="F30" s="143"/>
      <c r="G30" s="144" t="s">
        <v>41</v>
      </c>
      <c r="H30" s="145"/>
      <c r="I30" s="60"/>
      <c r="J30" s="75" t="s">
        <v>48</v>
      </c>
      <c r="AO30" s="6"/>
      <c r="AP30" s="6"/>
      <c r="AQ30" s="6"/>
      <c r="AR30" s="6"/>
      <c r="AS30" s="6"/>
      <c r="AT30" s="6"/>
      <c r="AU30" s="6"/>
      <c r="AV30" s="6"/>
      <c r="AW30" s="20"/>
      <c r="AX30" s="20"/>
      <c r="AY30" s="5"/>
    </row>
    <row r="31" spans="1:54" s="5" customFormat="1" ht="25" customHeight="1" thickTop="1" x14ac:dyDescent="0.2">
      <c r="A31" s="4"/>
      <c r="B31" s="42"/>
      <c r="C31" s="15"/>
      <c r="D31" s="15"/>
      <c r="E31" s="15"/>
      <c r="F31" s="15"/>
      <c r="G31" s="15"/>
      <c r="H31" s="15"/>
      <c r="I31" s="60"/>
      <c r="J31" s="61" t="s">
        <v>4</v>
      </c>
      <c r="K31" s="67"/>
      <c r="L31" s="67"/>
      <c r="M31" s="43"/>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6"/>
      <c r="AP31" s="6"/>
      <c r="AQ31" s="6"/>
      <c r="AR31" s="6"/>
      <c r="AS31" s="6"/>
      <c r="AT31" s="6"/>
      <c r="AU31" s="6"/>
      <c r="AV31" s="6"/>
      <c r="AW31" s="20"/>
      <c r="AX31" s="20"/>
    </row>
    <row r="32" spans="1:54" s="13" customFormat="1" ht="16" x14ac:dyDescent="0.2">
      <c r="B32" s="42"/>
      <c r="C32" s="42"/>
      <c r="D32" s="14"/>
      <c r="E32" s="42"/>
      <c r="F32" s="42"/>
      <c r="G32" s="42"/>
      <c r="H32" s="42"/>
      <c r="I32" s="60"/>
      <c r="J32" s="61" t="s">
        <v>5</v>
      </c>
      <c r="K32" s="67"/>
      <c r="L32" s="67"/>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row>
    <row r="33" spans="2:40" s="13" customFormat="1" ht="12.75" customHeight="1" x14ac:dyDescent="0.2">
      <c r="B33" s="15"/>
      <c r="C33" s="15"/>
      <c r="D33" s="42"/>
      <c r="E33" s="42"/>
      <c r="F33" s="42"/>
      <c r="G33" s="42"/>
      <c r="H33" s="42"/>
      <c r="I33" s="60"/>
      <c r="J33" s="76" t="s">
        <v>47</v>
      </c>
      <c r="K33" s="67"/>
      <c r="L33" s="67"/>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row>
    <row r="34" spans="2:40" s="13" customFormat="1" ht="16" x14ac:dyDescent="0.2">
      <c r="B34" s="16"/>
      <c r="C34" s="15"/>
      <c r="D34" s="42"/>
      <c r="E34" s="42"/>
      <c r="F34" s="42"/>
      <c r="G34" s="42"/>
      <c r="H34" s="42"/>
      <c r="I34" s="60"/>
      <c r="J34" s="61" t="s">
        <v>6</v>
      </c>
      <c r="K34" s="67"/>
      <c r="L34" s="67"/>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row>
    <row r="35" spans="2:40" s="13" customFormat="1" x14ac:dyDescent="0.2">
      <c r="B35" s="15" t="s">
        <v>52</v>
      </c>
      <c r="C35" s="15"/>
      <c r="D35" s="42"/>
      <c r="E35" s="42"/>
      <c r="F35" s="42"/>
      <c r="G35" s="42"/>
      <c r="H35" s="42"/>
      <c r="I35" s="60"/>
      <c r="J35" s="60"/>
      <c r="K35" s="67"/>
      <c r="L35" s="67"/>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row>
    <row r="36" spans="2:40" s="13" customFormat="1" x14ac:dyDescent="0.2">
      <c r="B36" s="15" t="s">
        <v>53</v>
      </c>
      <c r="C36" s="15"/>
      <c r="D36" s="42"/>
      <c r="E36" s="42"/>
      <c r="F36" s="42"/>
      <c r="G36" s="42"/>
      <c r="H36" s="42"/>
      <c r="I36" s="60"/>
      <c r="J36" s="60"/>
      <c r="K36" s="43" t="s">
        <v>7</v>
      </c>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row>
    <row r="37" spans="2:40" s="13" customFormat="1" x14ac:dyDescent="0.2">
      <c r="D37" s="44"/>
      <c r="E37" s="44"/>
      <c r="F37" s="44"/>
      <c r="G37" s="44"/>
      <c r="H37" s="42"/>
      <c r="I37" s="60"/>
      <c r="J37" s="77"/>
      <c r="K37" s="43" t="s">
        <v>69</v>
      </c>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row>
    <row r="38" spans="2:40" s="13" customFormat="1" x14ac:dyDescent="0.2">
      <c r="D38" s="44"/>
      <c r="E38" s="44"/>
      <c r="F38" s="44"/>
      <c r="G38" s="44"/>
      <c r="H38" s="42"/>
      <c r="I38" s="60"/>
      <c r="J38" s="77"/>
      <c r="K38" s="43" t="s">
        <v>9</v>
      </c>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row>
    <row r="39" spans="2:40" s="13" customFormat="1" x14ac:dyDescent="0.2">
      <c r="D39" s="44"/>
      <c r="E39" s="44"/>
      <c r="F39" s="44"/>
      <c r="G39" s="44"/>
      <c r="H39" s="42"/>
      <c r="I39" s="60"/>
      <c r="J39" s="77" t="s">
        <v>40</v>
      </c>
      <c r="K39" s="43" t="s">
        <v>10</v>
      </c>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row>
    <row r="40" spans="2:40" s="13" customFormat="1" x14ac:dyDescent="0.2">
      <c r="B40" s="44"/>
      <c r="C40" s="44"/>
      <c r="D40" s="44"/>
      <c r="E40" s="44"/>
      <c r="F40" s="44"/>
      <c r="G40" s="44"/>
      <c r="H40" s="42"/>
      <c r="I40" s="60"/>
      <c r="J40" s="77" t="s">
        <v>41</v>
      </c>
      <c r="K40" s="43" t="s">
        <v>11</v>
      </c>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row>
    <row r="41" spans="2:40" s="44" customFormat="1" x14ac:dyDescent="0.2">
      <c r="H41" s="42"/>
      <c r="I41" s="60"/>
      <c r="J41" s="77" t="s">
        <v>42</v>
      </c>
      <c r="K41" s="43" t="s">
        <v>12</v>
      </c>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row>
    <row r="42" spans="2:40" s="44" customFormat="1" x14ac:dyDescent="0.2">
      <c r="H42" s="42"/>
      <c r="I42" s="60"/>
      <c r="J42" s="77" t="s">
        <v>43</v>
      </c>
      <c r="K42" s="43" t="s">
        <v>13</v>
      </c>
      <c r="L42" s="43"/>
      <c r="M42" s="43"/>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row>
    <row r="43" spans="2:40" s="44" customFormat="1" x14ac:dyDescent="0.2">
      <c r="H43" s="42"/>
      <c r="I43" s="60"/>
      <c r="J43" s="60" t="s">
        <v>68</v>
      </c>
      <c r="K43" s="43" t="s">
        <v>14</v>
      </c>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row>
    <row r="44" spans="2:40" s="44" customFormat="1" x14ac:dyDescent="0.2">
      <c r="H44" s="42"/>
      <c r="I44" s="60"/>
      <c r="J44" s="60"/>
      <c r="K44" s="43" t="s">
        <v>15</v>
      </c>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row>
    <row r="45" spans="2:40" s="44" customFormat="1" x14ac:dyDescent="0.2">
      <c r="H45" s="42"/>
      <c r="I45" s="60"/>
      <c r="J45" s="60"/>
      <c r="K45" s="43" t="s">
        <v>16</v>
      </c>
      <c r="L45" s="43"/>
      <c r="M45" s="43"/>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row>
    <row r="46" spans="2:40" s="44" customFormat="1" x14ac:dyDescent="0.2">
      <c r="H46" s="42"/>
      <c r="I46" s="60"/>
      <c r="J46" s="60"/>
      <c r="K46" s="43" t="s">
        <v>5</v>
      </c>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row>
    <row r="47" spans="2:40" s="44" customFormat="1" x14ac:dyDescent="0.2">
      <c r="H47" s="42"/>
      <c r="I47" s="60" t="s">
        <v>46</v>
      </c>
      <c r="J47" s="60"/>
      <c r="K47" s="43" t="s">
        <v>17</v>
      </c>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row>
    <row r="48" spans="2:40" s="44" customFormat="1" x14ac:dyDescent="0.2">
      <c r="H48" s="42"/>
      <c r="I48" s="60" t="s">
        <v>50</v>
      </c>
      <c r="J48" s="60"/>
      <c r="K48" s="43" t="s">
        <v>18</v>
      </c>
      <c r="L48" s="43"/>
      <c r="M48" s="43"/>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row>
    <row r="49" spans="1:40" s="44" customFormat="1" x14ac:dyDescent="0.2">
      <c r="H49" s="42"/>
      <c r="I49" s="60" t="s">
        <v>44</v>
      </c>
      <c r="J49" s="60"/>
      <c r="K49" s="43" t="s">
        <v>19</v>
      </c>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row>
    <row r="50" spans="1:40" s="44" customFormat="1" x14ac:dyDescent="0.2">
      <c r="H50" s="42"/>
      <c r="I50" s="60" t="s">
        <v>68</v>
      </c>
      <c r="J50" s="60"/>
      <c r="K50" s="43" t="s">
        <v>21</v>
      </c>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row>
    <row r="51" spans="1:40" s="44" customFormat="1" x14ac:dyDescent="0.2">
      <c r="H51" s="42"/>
      <c r="I51" s="60"/>
      <c r="J51" s="60"/>
      <c r="K51" s="43" t="s">
        <v>22</v>
      </c>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row>
    <row r="52" spans="1:40" s="44" customFormat="1" x14ac:dyDescent="0.2">
      <c r="H52" s="42"/>
      <c r="I52" s="60"/>
      <c r="J52" s="60"/>
      <c r="K52" s="67" t="s">
        <v>59</v>
      </c>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row>
    <row r="53" spans="1:40" s="44" customFormat="1" x14ac:dyDescent="0.2">
      <c r="H53" s="42"/>
      <c r="I53" s="42"/>
      <c r="J53" s="60"/>
      <c r="K53" s="43" t="s">
        <v>24</v>
      </c>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row>
    <row r="54" spans="1:40" s="44" customFormat="1" x14ac:dyDescent="0.2">
      <c r="H54" s="42"/>
      <c r="I54" s="42"/>
      <c r="J54" s="60"/>
      <c r="K54" s="43" t="s">
        <v>4</v>
      </c>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row>
    <row r="55" spans="1:40" s="44" customFormat="1" x14ac:dyDescent="0.2">
      <c r="B55" s="16" t="str">
        <f>SUBSTITUTE(UPPER($H6)," ","")</f>
        <v>A</v>
      </c>
      <c r="H55" s="42"/>
      <c r="I55" s="42"/>
      <c r="J55" s="60"/>
      <c r="K55" s="43" t="s">
        <v>26</v>
      </c>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row>
    <row r="56" spans="1:40" s="44" customFormat="1" x14ac:dyDescent="0.2">
      <c r="H56" s="42"/>
      <c r="I56" s="42"/>
      <c r="J56" s="60"/>
      <c r="K56" s="43" t="s">
        <v>27</v>
      </c>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row>
    <row r="57" spans="1:40" s="44" customFormat="1" x14ac:dyDescent="0.2">
      <c r="H57" s="42"/>
      <c r="I57" s="42"/>
      <c r="J57" s="60"/>
      <c r="K57" s="43" t="s">
        <v>28</v>
      </c>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row>
    <row r="58" spans="1:40" s="44" customFormat="1" x14ac:dyDescent="0.2">
      <c r="H58" s="42"/>
      <c r="I58" s="42"/>
      <c r="J58" s="60"/>
      <c r="K58" s="43" t="s">
        <v>29</v>
      </c>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row>
    <row r="59" spans="1:40" s="44" customFormat="1" x14ac:dyDescent="0.2">
      <c r="B59" s="45"/>
      <c r="C59" s="45"/>
      <c r="D59" s="45"/>
      <c r="E59" s="45"/>
      <c r="F59" s="45"/>
      <c r="G59" s="45"/>
      <c r="H59" s="46"/>
      <c r="I59" s="60"/>
      <c r="J59" s="60"/>
      <c r="K59" s="43" t="s">
        <v>30</v>
      </c>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row>
    <row r="60" spans="1:40" s="23" customFormat="1" x14ac:dyDescent="0.2">
      <c r="A60" s="45"/>
      <c r="B60" s="45"/>
      <c r="C60" s="45"/>
      <c r="D60" s="45"/>
      <c r="E60" s="45"/>
      <c r="F60" s="45"/>
      <c r="G60" s="45"/>
      <c r="H60" s="46"/>
      <c r="I60" s="60"/>
      <c r="J60" s="60"/>
      <c r="K60" s="43" t="s">
        <v>31</v>
      </c>
      <c r="L60" s="43"/>
      <c r="M60" s="43"/>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row>
    <row r="61" spans="1:40" s="23" customFormat="1" x14ac:dyDescent="0.2">
      <c r="A61" s="45"/>
      <c r="B61" s="45"/>
      <c r="C61" s="45"/>
      <c r="D61" s="45"/>
      <c r="E61" s="45"/>
      <c r="F61" s="45"/>
      <c r="G61" s="45"/>
      <c r="H61" s="46"/>
      <c r="I61" s="60"/>
      <c r="J61" s="60"/>
      <c r="K61" s="43" t="s">
        <v>32</v>
      </c>
      <c r="L61" s="43"/>
      <c r="M61" s="43"/>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row>
    <row r="62" spans="1:40" s="23" customFormat="1" x14ac:dyDescent="0.2">
      <c r="A62" s="45"/>
      <c r="B62" s="45"/>
      <c r="C62" s="45"/>
      <c r="D62" s="45"/>
      <c r="E62" s="45"/>
      <c r="F62" s="45"/>
      <c r="G62" s="45"/>
      <c r="H62" s="46"/>
      <c r="I62" s="60"/>
      <c r="J62" s="60"/>
      <c r="K62" s="43" t="s">
        <v>33</v>
      </c>
      <c r="L62" s="43"/>
      <c r="M62" s="43"/>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row>
    <row r="63" spans="1:40" s="23" customFormat="1" x14ac:dyDescent="0.2">
      <c r="A63" s="45"/>
      <c r="B63" s="45"/>
      <c r="C63" s="45"/>
      <c r="D63" s="45"/>
      <c r="E63" s="45"/>
      <c r="F63" s="45"/>
      <c r="G63" s="45"/>
      <c r="H63" s="46"/>
      <c r="I63" s="60"/>
      <c r="J63" s="60"/>
      <c r="K63" s="43" t="s">
        <v>34</v>
      </c>
      <c r="L63" s="43"/>
      <c r="M63" s="43"/>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row>
    <row r="64" spans="1:40" s="23" customFormat="1" x14ac:dyDescent="0.2">
      <c r="A64" s="45"/>
      <c r="B64" s="45"/>
      <c r="C64" s="45"/>
      <c r="D64" s="45"/>
      <c r="E64" s="45"/>
      <c r="F64" s="45"/>
      <c r="G64" s="45"/>
      <c r="H64" s="46"/>
      <c r="I64" s="60"/>
      <c r="J64" s="60"/>
      <c r="K64" s="43" t="s">
        <v>70</v>
      </c>
      <c r="L64" s="67"/>
      <c r="M64" s="43"/>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row>
    <row r="65" spans="1:40" s="23" customFormat="1" x14ac:dyDescent="0.2">
      <c r="A65" s="45"/>
      <c r="B65" s="45"/>
      <c r="C65" s="45"/>
      <c r="D65" s="45"/>
      <c r="E65" s="45"/>
      <c r="F65" s="45"/>
      <c r="G65" s="45"/>
      <c r="H65" s="46"/>
      <c r="I65" s="60"/>
      <c r="J65" s="60"/>
      <c r="K65" s="43"/>
      <c r="L65" s="67"/>
      <c r="M65" s="43"/>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row>
    <row r="66" spans="1:40" s="23" customFormat="1" x14ac:dyDescent="0.2">
      <c r="A66" s="45"/>
      <c r="B66" s="45"/>
      <c r="C66" s="45"/>
      <c r="D66" s="45"/>
      <c r="E66" s="45"/>
      <c r="F66" s="45"/>
      <c r="G66" s="45"/>
      <c r="H66" s="46"/>
      <c r="I66" s="60"/>
      <c r="J66" s="60"/>
      <c r="K66" s="67"/>
      <c r="L66" s="67"/>
      <c r="M66" s="43"/>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row>
    <row r="67" spans="1:40" s="23" customFormat="1" x14ac:dyDescent="0.2">
      <c r="A67" s="45"/>
      <c r="B67" s="45"/>
      <c r="C67" s="45"/>
      <c r="D67" s="45"/>
      <c r="E67" s="45"/>
      <c r="F67" s="45"/>
      <c r="G67" s="45"/>
      <c r="H67" s="46"/>
      <c r="I67" s="60"/>
      <c r="J67" s="60"/>
      <c r="K67" s="67"/>
      <c r="L67" s="67"/>
      <c r="M67" s="43"/>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row>
    <row r="68" spans="1:40" s="23" customFormat="1" x14ac:dyDescent="0.2">
      <c r="A68" s="45"/>
      <c r="B68" s="45"/>
      <c r="C68" s="45"/>
      <c r="D68" s="45"/>
      <c r="E68" s="45"/>
      <c r="F68" s="45"/>
      <c r="G68" s="45"/>
      <c r="H68" s="46"/>
      <c r="I68" s="60"/>
      <c r="J68" s="60"/>
      <c r="K68" s="67"/>
      <c r="L68" s="67"/>
      <c r="M68" s="43"/>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row>
    <row r="69" spans="1:40" s="23" customFormat="1" x14ac:dyDescent="0.2">
      <c r="A69" s="45"/>
      <c r="B69" s="45"/>
      <c r="C69" s="45"/>
      <c r="D69" s="45"/>
      <c r="E69" s="45"/>
      <c r="F69" s="45"/>
      <c r="G69" s="45"/>
      <c r="H69" s="46"/>
      <c r="I69" s="60"/>
      <c r="J69" s="60"/>
      <c r="K69" s="67"/>
      <c r="L69" s="67"/>
      <c r="M69" s="43"/>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row>
    <row r="70" spans="1:40" s="23" customFormat="1" x14ac:dyDescent="0.2">
      <c r="A70" s="45"/>
      <c r="B70" s="45"/>
      <c r="C70" s="45"/>
      <c r="D70" s="45"/>
      <c r="E70" s="45"/>
      <c r="F70" s="45"/>
      <c r="G70" s="45"/>
      <c r="H70" s="46"/>
      <c r="I70" s="78"/>
      <c r="J70" s="60"/>
      <c r="K70" s="67"/>
      <c r="L70" s="67"/>
      <c r="M70" s="43"/>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row>
    <row r="71" spans="1:40" s="23" customFormat="1" x14ac:dyDescent="0.2">
      <c r="A71" s="45"/>
      <c r="B71" s="45"/>
      <c r="C71" s="45"/>
      <c r="D71" s="45"/>
      <c r="E71" s="45"/>
      <c r="F71" s="45"/>
      <c r="G71" s="45"/>
      <c r="H71" s="46"/>
      <c r="I71" s="60"/>
      <c r="J71" s="60"/>
      <c r="K71" s="67"/>
      <c r="L71" s="67"/>
      <c r="M71" s="43"/>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row>
    <row r="72" spans="1:40" s="23" customFormat="1" x14ac:dyDescent="0.2">
      <c r="A72" s="45"/>
      <c r="B72" s="45"/>
      <c r="C72" s="45"/>
      <c r="D72" s="45"/>
      <c r="E72" s="45"/>
      <c r="F72" s="45"/>
      <c r="G72" s="45"/>
      <c r="H72" s="46"/>
      <c r="I72" s="60"/>
      <c r="J72" s="60"/>
      <c r="K72" s="67"/>
      <c r="L72" s="67"/>
      <c r="M72" s="43"/>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row>
    <row r="73" spans="1:40" s="23" customFormat="1" x14ac:dyDescent="0.2">
      <c r="A73" s="45"/>
      <c r="B73" s="45"/>
      <c r="C73" s="45"/>
      <c r="D73" s="45"/>
      <c r="E73" s="45"/>
      <c r="F73" s="45"/>
      <c r="G73" s="45"/>
      <c r="H73" s="46"/>
      <c r="I73" s="60"/>
      <c r="J73" s="60"/>
      <c r="K73" s="67"/>
      <c r="L73" s="67"/>
      <c r="M73" s="43"/>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row>
    <row r="74" spans="1:40" s="23" customFormat="1" x14ac:dyDescent="0.2">
      <c r="A74" s="45"/>
      <c r="B74" s="45"/>
      <c r="C74" s="45"/>
      <c r="D74" s="45"/>
      <c r="E74" s="45"/>
      <c r="F74" s="45"/>
      <c r="G74" s="45"/>
      <c r="H74" s="46"/>
      <c r="I74" s="60"/>
      <c r="J74" s="60"/>
      <c r="K74" s="67"/>
      <c r="L74" s="67"/>
      <c r="M74" s="43"/>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row>
    <row r="75" spans="1:40" s="23" customFormat="1" x14ac:dyDescent="0.2">
      <c r="A75" s="45"/>
      <c r="B75" s="45"/>
      <c r="C75" s="45"/>
      <c r="D75" s="45"/>
      <c r="E75" s="45"/>
      <c r="F75" s="45"/>
      <c r="G75" s="45"/>
      <c r="H75" s="46"/>
      <c r="I75" s="60"/>
      <c r="J75" s="60"/>
      <c r="K75" s="67"/>
      <c r="L75" s="67"/>
      <c r="M75" s="43"/>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row>
    <row r="76" spans="1:40" s="23" customFormat="1" x14ac:dyDescent="0.2">
      <c r="A76" s="45"/>
      <c r="B76" s="45"/>
      <c r="C76" s="45"/>
      <c r="D76" s="45"/>
      <c r="E76" s="45"/>
      <c r="F76" s="45"/>
      <c r="G76" s="45"/>
      <c r="H76" s="46"/>
      <c r="I76" s="60"/>
      <c r="J76" s="60"/>
      <c r="K76" s="67"/>
      <c r="L76" s="67"/>
      <c r="M76" s="43"/>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row>
    <row r="77" spans="1:40" s="23" customFormat="1" x14ac:dyDescent="0.2">
      <c r="A77" s="45"/>
      <c r="B77" s="45"/>
      <c r="C77" s="45"/>
      <c r="D77" s="45"/>
      <c r="E77" s="45"/>
      <c r="F77" s="45"/>
      <c r="G77" s="45"/>
      <c r="H77" s="46"/>
      <c r="I77" s="60"/>
      <c r="J77" s="60"/>
      <c r="K77" s="67"/>
      <c r="L77" s="67"/>
      <c r="M77" s="43"/>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row>
    <row r="78" spans="1:40" s="23" customFormat="1" x14ac:dyDescent="0.2">
      <c r="A78" s="45"/>
      <c r="B78" s="45"/>
      <c r="C78" s="45"/>
      <c r="D78" s="45"/>
      <c r="E78" s="45"/>
      <c r="F78" s="45"/>
      <c r="G78" s="45"/>
      <c r="H78" s="46"/>
      <c r="I78" s="60"/>
      <c r="J78" s="60"/>
      <c r="K78" s="67"/>
      <c r="L78" s="67"/>
      <c r="M78" s="43"/>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row>
    <row r="79" spans="1:40" s="23" customFormat="1" x14ac:dyDescent="0.2">
      <c r="A79" s="45"/>
      <c r="B79" s="45"/>
      <c r="C79" s="45"/>
      <c r="D79" s="45"/>
      <c r="E79" s="45"/>
      <c r="F79" s="45"/>
      <c r="G79" s="45"/>
      <c r="H79" s="46"/>
      <c r="I79" s="60"/>
      <c r="J79" s="60"/>
      <c r="K79" s="67"/>
      <c r="L79" s="67"/>
      <c r="M79" s="43"/>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row>
    <row r="80" spans="1:40" s="23" customFormat="1" x14ac:dyDescent="0.2">
      <c r="A80" s="45"/>
      <c r="B80" s="45"/>
      <c r="C80" s="45"/>
      <c r="D80" s="45"/>
      <c r="E80" s="45"/>
      <c r="F80" s="45"/>
      <c r="G80" s="45"/>
      <c r="H80" s="46"/>
      <c r="I80" s="78"/>
      <c r="J80" s="60"/>
      <c r="K80" s="67"/>
      <c r="L80" s="67"/>
      <c r="M80" s="43"/>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row>
    <row r="81" spans="1:50" s="23" customFormat="1" x14ac:dyDescent="0.2">
      <c r="A81" s="45"/>
      <c r="B81" s="45"/>
      <c r="C81" s="45"/>
      <c r="D81" s="45"/>
      <c r="E81" s="45"/>
      <c r="F81" s="45"/>
      <c r="G81" s="45"/>
      <c r="H81" s="46"/>
      <c r="I81" s="60"/>
      <c r="J81" s="60"/>
      <c r="K81" s="67"/>
      <c r="L81" s="67"/>
      <c r="M81" s="43"/>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row>
    <row r="82" spans="1:50" s="23" customFormat="1" x14ac:dyDescent="0.2">
      <c r="A82" s="45"/>
      <c r="B82" s="45"/>
      <c r="C82" s="45"/>
      <c r="D82" s="45"/>
      <c r="E82" s="45"/>
      <c r="F82" s="45"/>
      <c r="G82" s="45"/>
      <c r="H82" s="46"/>
      <c r="I82" s="60"/>
      <c r="J82" s="60"/>
      <c r="K82" s="67"/>
      <c r="L82" s="67"/>
      <c r="M82" s="43"/>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row>
    <row r="83" spans="1:50" s="23" customFormat="1" x14ac:dyDescent="0.2">
      <c r="A83" s="45"/>
      <c r="B83" s="47"/>
      <c r="C83" s="47"/>
      <c r="D83" s="47"/>
      <c r="E83" s="47"/>
      <c r="F83" s="47"/>
      <c r="G83" s="47"/>
      <c r="H83" s="48"/>
      <c r="I83" s="78"/>
      <c r="J83" s="60"/>
      <c r="K83" s="67"/>
      <c r="L83" s="67"/>
      <c r="M83" s="43"/>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row>
    <row r="84" spans="1:50" s="49" customFormat="1" x14ac:dyDescent="0.2">
      <c r="A84" s="47"/>
      <c r="B84" s="47"/>
      <c r="C84" s="47"/>
      <c r="D84" s="47"/>
      <c r="E84" s="47"/>
      <c r="F84" s="47"/>
      <c r="G84" s="47"/>
      <c r="H84" s="48"/>
      <c r="I84" s="60"/>
      <c r="J84" s="60"/>
      <c r="K84" s="67"/>
      <c r="L84" s="67"/>
      <c r="M84" s="43"/>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3"/>
      <c r="AQ84" s="23"/>
      <c r="AR84" s="23"/>
      <c r="AS84" s="23"/>
      <c r="AT84" s="23"/>
      <c r="AU84" s="23"/>
      <c r="AV84" s="23"/>
      <c r="AW84" s="23"/>
      <c r="AX84" s="23"/>
    </row>
    <row r="85" spans="1:50" s="49" customFormat="1" x14ac:dyDescent="0.2">
      <c r="A85" s="47"/>
      <c r="B85" s="47"/>
      <c r="C85" s="47"/>
      <c r="D85" s="47"/>
      <c r="E85" s="47"/>
      <c r="F85" s="47"/>
      <c r="G85" s="47"/>
      <c r="H85" s="48"/>
      <c r="I85" s="60"/>
      <c r="J85" s="60"/>
      <c r="K85" s="67"/>
      <c r="L85" s="67"/>
      <c r="M85" s="43"/>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3"/>
      <c r="AQ85" s="23"/>
      <c r="AR85" s="23"/>
      <c r="AS85" s="23"/>
      <c r="AT85" s="23"/>
      <c r="AU85" s="23"/>
      <c r="AV85" s="23"/>
      <c r="AW85" s="23"/>
      <c r="AX85" s="23"/>
    </row>
    <row r="86" spans="1:50" s="49" customFormat="1" x14ac:dyDescent="0.2">
      <c r="A86" s="47"/>
      <c r="B86" s="47"/>
      <c r="C86" s="47"/>
      <c r="D86" s="47"/>
      <c r="E86" s="47"/>
      <c r="F86" s="47"/>
      <c r="G86" s="47"/>
      <c r="H86" s="48"/>
      <c r="I86" s="60"/>
      <c r="J86" s="60"/>
      <c r="K86" s="67"/>
      <c r="L86" s="67"/>
      <c r="M86" s="43"/>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3"/>
      <c r="AQ86" s="23"/>
      <c r="AR86" s="23"/>
      <c r="AS86" s="23"/>
      <c r="AT86" s="23"/>
      <c r="AU86" s="23"/>
      <c r="AV86" s="23"/>
      <c r="AW86" s="23"/>
      <c r="AX86" s="23"/>
    </row>
    <row r="87" spans="1:50" s="49" customFormat="1" x14ac:dyDescent="0.2">
      <c r="A87" s="47"/>
      <c r="B87" s="47"/>
      <c r="C87" s="47"/>
      <c r="D87" s="47"/>
      <c r="E87" s="47"/>
      <c r="F87" s="47"/>
      <c r="G87" s="47"/>
      <c r="H87" s="48"/>
      <c r="I87" s="60"/>
      <c r="J87" s="60"/>
      <c r="K87" s="67"/>
      <c r="L87" s="67"/>
      <c r="M87" s="43"/>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3"/>
      <c r="AQ87" s="23"/>
      <c r="AR87" s="23"/>
      <c r="AS87" s="23"/>
      <c r="AT87" s="23"/>
      <c r="AU87" s="23"/>
      <c r="AV87" s="23"/>
      <c r="AW87" s="23"/>
      <c r="AX87" s="23"/>
    </row>
    <row r="88" spans="1:50" s="49" customFormat="1" x14ac:dyDescent="0.2">
      <c r="A88" s="47"/>
      <c r="B88" s="47"/>
      <c r="C88" s="47"/>
      <c r="D88" s="47"/>
      <c r="E88" s="47"/>
      <c r="F88" s="47"/>
      <c r="G88" s="47"/>
      <c r="H88" s="48"/>
      <c r="I88" s="60"/>
      <c r="J88" s="60"/>
      <c r="K88" s="67"/>
      <c r="L88" s="67"/>
      <c r="M88" s="43"/>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3"/>
      <c r="AQ88" s="23"/>
      <c r="AR88" s="23"/>
      <c r="AS88" s="23"/>
      <c r="AT88" s="23"/>
      <c r="AU88" s="23"/>
      <c r="AV88" s="23"/>
      <c r="AW88" s="23"/>
      <c r="AX88" s="23"/>
    </row>
    <row r="89" spans="1:50" s="49" customFormat="1" x14ac:dyDescent="0.2">
      <c r="A89" s="47"/>
      <c r="B89" s="47"/>
      <c r="C89" s="47"/>
      <c r="D89" s="47"/>
      <c r="E89" s="47"/>
      <c r="F89" s="47"/>
      <c r="G89" s="47"/>
      <c r="H89" s="48"/>
      <c r="I89" s="60"/>
      <c r="J89" s="60"/>
      <c r="K89" s="67"/>
      <c r="L89" s="67"/>
      <c r="M89" s="43"/>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3"/>
      <c r="AQ89" s="23"/>
      <c r="AR89" s="23"/>
      <c r="AS89" s="23"/>
      <c r="AT89" s="23"/>
      <c r="AU89" s="23"/>
      <c r="AV89" s="23"/>
      <c r="AW89" s="23"/>
      <c r="AX89" s="23"/>
    </row>
    <row r="90" spans="1:50" s="49" customFormat="1" x14ac:dyDescent="0.2">
      <c r="A90" s="47"/>
      <c r="B90" s="47"/>
      <c r="C90" s="47"/>
      <c r="D90" s="47"/>
      <c r="E90" s="47"/>
      <c r="F90" s="47"/>
      <c r="G90" s="47"/>
      <c r="H90" s="48"/>
      <c r="I90" s="60"/>
      <c r="J90" s="60"/>
      <c r="K90" s="67"/>
      <c r="L90" s="67"/>
      <c r="M90" s="43"/>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3"/>
      <c r="AQ90" s="23"/>
      <c r="AR90" s="23"/>
      <c r="AS90" s="23"/>
      <c r="AT90" s="23"/>
      <c r="AU90" s="23"/>
      <c r="AV90" s="23"/>
      <c r="AW90" s="23"/>
      <c r="AX90" s="23"/>
    </row>
    <row r="91" spans="1:50" s="49" customFormat="1" x14ac:dyDescent="0.2">
      <c r="A91" s="47"/>
      <c r="B91" s="47"/>
      <c r="C91" s="47"/>
      <c r="D91" s="47"/>
      <c r="E91" s="47"/>
      <c r="F91" s="47"/>
      <c r="G91" s="47"/>
      <c r="H91" s="48"/>
      <c r="I91" s="60"/>
      <c r="J91" s="60"/>
      <c r="K91" s="67"/>
      <c r="L91" s="67"/>
      <c r="M91" s="43"/>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3"/>
      <c r="AQ91" s="23"/>
      <c r="AR91" s="23"/>
      <c r="AS91" s="23"/>
      <c r="AT91" s="23"/>
      <c r="AU91" s="23"/>
      <c r="AV91" s="23"/>
      <c r="AW91" s="23"/>
      <c r="AX91" s="23"/>
    </row>
    <row r="92" spans="1:50" s="49" customFormat="1" x14ac:dyDescent="0.2">
      <c r="A92" s="47"/>
      <c r="B92" s="47"/>
      <c r="C92" s="47"/>
      <c r="D92" s="47"/>
      <c r="E92" s="47"/>
      <c r="F92" s="47"/>
      <c r="G92" s="47"/>
      <c r="H92" s="48"/>
      <c r="I92" s="60"/>
      <c r="J92" s="60"/>
      <c r="K92" s="67"/>
      <c r="L92" s="67"/>
      <c r="M92" s="43"/>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3"/>
      <c r="AQ92" s="23"/>
      <c r="AR92" s="23"/>
      <c r="AS92" s="23"/>
      <c r="AT92" s="23"/>
      <c r="AU92" s="23"/>
      <c r="AV92" s="23"/>
      <c r="AW92" s="23"/>
      <c r="AX92" s="23"/>
    </row>
    <row r="93" spans="1:50" s="49" customFormat="1" x14ac:dyDescent="0.2">
      <c r="A93" s="47"/>
      <c r="B93" s="47"/>
      <c r="C93" s="47"/>
      <c r="D93" s="47"/>
      <c r="E93" s="47"/>
      <c r="F93" s="47"/>
      <c r="G93" s="47"/>
      <c r="H93" s="48"/>
      <c r="I93" s="60"/>
      <c r="J93" s="60"/>
      <c r="K93" s="67"/>
      <c r="L93" s="67"/>
      <c r="M93" s="43"/>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3"/>
      <c r="AQ93" s="23"/>
      <c r="AR93" s="23"/>
      <c r="AS93" s="23"/>
      <c r="AT93" s="23"/>
      <c r="AU93" s="23"/>
      <c r="AV93" s="23"/>
      <c r="AW93" s="23"/>
      <c r="AX93" s="23"/>
    </row>
    <row r="94" spans="1:50" s="49" customFormat="1" x14ac:dyDescent="0.2">
      <c r="A94" s="47"/>
      <c r="B94" s="47"/>
      <c r="C94" s="47"/>
      <c r="D94" s="47"/>
      <c r="E94" s="47"/>
      <c r="F94" s="47"/>
      <c r="G94" s="47"/>
      <c r="H94" s="48"/>
      <c r="I94" s="60"/>
      <c r="J94" s="60"/>
      <c r="K94" s="67"/>
      <c r="L94" s="67"/>
      <c r="M94" s="43"/>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3"/>
      <c r="AQ94" s="23"/>
      <c r="AR94" s="23"/>
      <c r="AS94" s="23"/>
      <c r="AT94" s="23"/>
      <c r="AU94" s="23"/>
      <c r="AV94" s="23"/>
      <c r="AW94" s="23"/>
      <c r="AX94" s="23"/>
    </row>
    <row r="95" spans="1:50" s="49" customFormat="1" x14ac:dyDescent="0.2">
      <c r="A95" s="47"/>
      <c r="B95" s="47"/>
      <c r="C95" s="47"/>
      <c r="D95" s="47"/>
      <c r="E95" s="47"/>
      <c r="F95" s="47"/>
      <c r="G95" s="47"/>
      <c r="H95" s="48"/>
      <c r="I95" s="60"/>
      <c r="J95" s="60"/>
      <c r="K95" s="67"/>
      <c r="L95" s="67"/>
      <c r="M95" s="43"/>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3"/>
      <c r="AQ95" s="23"/>
      <c r="AR95" s="23"/>
      <c r="AS95" s="23"/>
      <c r="AT95" s="23"/>
      <c r="AU95" s="23"/>
      <c r="AV95" s="23"/>
      <c r="AW95" s="23"/>
      <c r="AX95" s="23"/>
    </row>
    <row r="96" spans="1:50" s="49" customFormat="1" x14ac:dyDescent="0.2">
      <c r="A96" s="47"/>
      <c r="B96" s="47"/>
      <c r="C96" s="47"/>
      <c r="D96" s="47"/>
      <c r="E96" s="47"/>
      <c r="F96" s="47"/>
      <c r="G96" s="47"/>
      <c r="H96" s="48"/>
      <c r="I96" s="60"/>
      <c r="J96" s="60"/>
      <c r="K96" s="67"/>
      <c r="L96" s="67"/>
      <c r="M96" s="43"/>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3"/>
      <c r="AQ96" s="23"/>
      <c r="AR96" s="23"/>
      <c r="AS96" s="23"/>
      <c r="AT96" s="23"/>
      <c r="AU96" s="23"/>
      <c r="AV96" s="23"/>
      <c r="AW96" s="23"/>
      <c r="AX96" s="23"/>
    </row>
    <row r="97" spans="1:50" s="49" customFormat="1" x14ac:dyDescent="0.2">
      <c r="A97" s="47"/>
      <c r="B97" s="47"/>
      <c r="C97" s="47"/>
      <c r="D97" s="47"/>
      <c r="E97" s="47"/>
      <c r="F97" s="47"/>
      <c r="G97" s="47"/>
      <c r="H97" s="48"/>
      <c r="I97" s="60"/>
      <c r="J97" s="60"/>
      <c r="K97" s="67"/>
      <c r="L97" s="67"/>
      <c r="M97" s="43"/>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3"/>
      <c r="AQ97" s="23"/>
      <c r="AR97" s="23"/>
      <c r="AS97" s="23"/>
      <c r="AT97" s="23"/>
      <c r="AU97" s="23"/>
      <c r="AV97" s="23"/>
      <c r="AW97" s="23"/>
      <c r="AX97" s="23"/>
    </row>
    <row r="98" spans="1:50" s="49" customFormat="1" x14ac:dyDescent="0.2">
      <c r="A98" s="47"/>
      <c r="B98" s="47"/>
      <c r="C98" s="47"/>
      <c r="D98" s="47"/>
      <c r="E98" s="47"/>
      <c r="F98" s="47"/>
      <c r="G98" s="47"/>
      <c r="H98" s="48"/>
      <c r="I98" s="60"/>
      <c r="J98" s="60"/>
      <c r="K98" s="67"/>
      <c r="L98" s="67"/>
      <c r="M98" s="43"/>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3"/>
      <c r="AQ98" s="23"/>
      <c r="AR98" s="23"/>
      <c r="AS98" s="23"/>
      <c r="AT98" s="23"/>
      <c r="AU98" s="23"/>
      <c r="AV98" s="23"/>
      <c r="AW98" s="23"/>
      <c r="AX98" s="23"/>
    </row>
    <row r="99" spans="1:50" s="49" customFormat="1" x14ac:dyDescent="0.2">
      <c r="A99" s="47"/>
      <c r="B99" s="47"/>
      <c r="C99" s="47"/>
      <c r="D99" s="47"/>
      <c r="E99" s="47"/>
      <c r="F99" s="47"/>
      <c r="G99" s="47"/>
      <c r="H99" s="48"/>
      <c r="I99" s="60"/>
      <c r="J99" s="60"/>
      <c r="K99" s="67"/>
      <c r="L99" s="67"/>
      <c r="M99" s="43"/>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3"/>
      <c r="AQ99" s="23"/>
      <c r="AR99" s="23"/>
      <c r="AS99" s="23"/>
      <c r="AT99" s="23"/>
      <c r="AU99" s="23"/>
      <c r="AV99" s="23"/>
      <c r="AW99" s="23"/>
      <c r="AX99" s="23"/>
    </row>
    <row r="100" spans="1:50" s="49" customFormat="1" x14ac:dyDescent="0.2">
      <c r="A100" s="47"/>
      <c r="B100" s="47"/>
      <c r="C100" s="47"/>
      <c r="D100" s="47"/>
      <c r="E100" s="47"/>
      <c r="F100" s="47"/>
      <c r="G100" s="47"/>
      <c r="H100" s="48"/>
      <c r="I100" s="60"/>
      <c r="J100" s="60"/>
      <c r="K100" s="67"/>
      <c r="L100" s="67"/>
      <c r="M100" s="43"/>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3"/>
      <c r="AQ100" s="23"/>
      <c r="AR100" s="23"/>
      <c r="AS100" s="23"/>
      <c r="AT100" s="23"/>
      <c r="AU100" s="23"/>
      <c r="AV100" s="23"/>
      <c r="AW100" s="23"/>
      <c r="AX100" s="23"/>
    </row>
    <row r="101" spans="1:50" s="49" customFormat="1" x14ac:dyDescent="0.2">
      <c r="A101" s="47"/>
      <c r="B101" s="47"/>
      <c r="C101" s="47"/>
      <c r="D101" s="47"/>
      <c r="E101" s="47"/>
      <c r="F101" s="47"/>
      <c r="G101" s="47"/>
      <c r="H101" s="48"/>
      <c r="I101" s="60"/>
      <c r="J101" s="60"/>
      <c r="K101" s="67"/>
      <c r="L101" s="67"/>
      <c r="M101" s="43"/>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3"/>
      <c r="AQ101" s="23"/>
      <c r="AR101" s="23"/>
      <c r="AS101" s="23"/>
      <c r="AT101" s="23"/>
      <c r="AU101" s="23"/>
      <c r="AV101" s="23"/>
      <c r="AW101" s="23"/>
      <c r="AX101" s="23"/>
    </row>
    <row r="102" spans="1:50" s="49" customFormat="1" x14ac:dyDescent="0.2">
      <c r="A102" s="47"/>
      <c r="B102" s="47"/>
      <c r="C102" s="47"/>
      <c r="D102" s="47"/>
      <c r="E102" s="47"/>
      <c r="F102" s="47"/>
      <c r="G102" s="47"/>
      <c r="H102" s="48"/>
      <c r="I102" s="60"/>
      <c r="J102" s="60"/>
      <c r="K102" s="67"/>
      <c r="L102" s="67"/>
      <c r="M102" s="43"/>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3"/>
      <c r="AQ102" s="23"/>
      <c r="AR102" s="23"/>
      <c r="AS102" s="23"/>
      <c r="AT102" s="23"/>
      <c r="AU102" s="23"/>
      <c r="AV102" s="23"/>
      <c r="AW102" s="23"/>
      <c r="AX102" s="23"/>
    </row>
    <row r="103" spans="1:50" s="49" customFormat="1" x14ac:dyDescent="0.2">
      <c r="A103" s="47"/>
      <c r="B103" s="47"/>
      <c r="C103" s="47"/>
      <c r="D103" s="47"/>
      <c r="E103" s="47"/>
      <c r="F103" s="47"/>
      <c r="G103" s="47"/>
      <c r="H103" s="48"/>
      <c r="I103" s="60"/>
      <c r="J103" s="60"/>
      <c r="K103" s="67"/>
      <c r="L103" s="67"/>
      <c r="M103" s="43"/>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3"/>
      <c r="AQ103" s="23"/>
      <c r="AR103" s="23"/>
      <c r="AS103" s="23"/>
      <c r="AT103" s="23"/>
      <c r="AU103" s="23"/>
      <c r="AV103" s="23"/>
      <c r="AW103" s="23"/>
      <c r="AX103" s="23"/>
    </row>
    <row r="104" spans="1:50" s="49" customFormat="1" x14ac:dyDescent="0.2">
      <c r="A104" s="47"/>
      <c r="B104" s="47"/>
      <c r="C104" s="47"/>
      <c r="D104" s="47"/>
      <c r="E104" s="47"/>
      <c r="F104" s="47"/>
      <c r="G104" s="47"/>
      <c r="H104" s="48"/>
      <c r="I104" s="60"/>
      <c r="J104" s="60"/>
      <c r="K104" s="67"/>
      <c r="L104" s="67"/>
      <c r="M104" s="43"/>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3"/>
      <c r="AQ104" s="23"/>
      <c r="AR104" s="23"/>
      <c r="AS104" s="23"/>
      <c r="AT104" s="23"/>
      <c r="AU104" s="23"/>
      <c r="AV104" s="23"/>
      <c r="AW104" s="23"/>
      <c r="AX104" s="23"/>
    </row>
    <row r="105" spans="1:50" s="49" customFormat="1" x14ac:dyDescent="0.2">
      <c r="A105" s="47"/>
      <c r="B105" s="47"/>
      <c r="C105" s="47"/>
      <c r="D105" s="47"/>
      <c r="E105" s="47"/>
      <c r="F105" s="47"/>
      <c r="G105" s="47"/>
      <c r="H105" s="48"/>
      <c r="I105" s="60"/>
      <c r="J105" s="60"/>
      <c r="K105" s="67"/>
      <c r="L105" s="67"/>
      <c r="M105" s="43"/>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3"/>
      <c r="AQ105" s="23"/>
      <c r="AR105" s="23"/>
      <c r="AS105" s="23"/>
      <c r="AT105" s="23"/>
      <c r="AU105" s="23"/>
      <c r="AV105" s="23"/>
      <c r="AW105" s="23"/>
      <c r="AX105" s="23"/>
    </row>
    <row r="106" spans="1:50" s="49" customFormat="1" x14ac:dyDescent="0.2">
      <c r="A106" s="47"/>
      <c r="B106" s="47"/>
      <c r="C106" s="47"/>
      <c r="D106" s="47"/>
      <c r="E106" s="47"/>
      <c r="F106" s="47"/>
      <c r="G106" s="47"/>
      <c r="H106" s="48"/>
      <c r="I106" s="60"/>
      <c r="J106" s="60"/>
      <c r="K106" s="67"/>
      <c r="L106" s="67"/>
      <c r="M106" s="43"/>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3"/>
      <c r="AQ106" s="23"/>
      <c r="AR106" s="23"/>
      <c r="AS106" s="23"/>
      <c r="AT106" s="23"/>
      <c r="AU106" s="23"/>
      <c r="AV106" s="23"/>
      <c r="AW106" s="23"/>
      <c r="AX106" s="23"/>
    </row>
    <row r="107" spans="1:50" s="49" customFormat="1" x14ac:dyDescent="0.2">
      <c r="A107" s="47"/>
      <c r="B107" s="47"/>
      <c r="C107" s="47"/>
      <c r="D107" s="47"/>
      <c r="E107" s="47"/>
      <c r="F107" s="47"/>
      <c r="G107" s="47"/>
      <c r="H107" s="48"/>
      <c r="I107" s="60"/>
      <c r="J107" s="60"/>
      <c r="K107" s="67"/>
      <c r="L107" s="67"/>
      <c r="M107" s="43"/>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3"/>
      <c r="AQ107" s="23"/>
      <c r="AR107" s="23"/>
      <c r="AS107" s="23"/>
      <c r="AT107" s="23"/>
      <c r="AU107" s="23"/>
      <c r="AV107" s="23"/>
      <c r="AW107" s="23"/>
      <c r="AX107" s="23"/>
    </row>
    <row r="108" spans="1:50" s="49" customFormat="1" x14ac:dyDescent="0.2">
      <c r="A108" s="47"/>
      <c r="B108" s="47"/>
      <c r="C108" s="47"/>
      <c r="D108" s="47"/>
      <c r="E108" s="47"/>
      <c r="F108" s="47"/>
      <c r="G108" s="47"/>
      <c r="H108" s="48"/>
      <c r="I108" s="60"/>
      <c r="J108" s="60"/>
      <c r="K108" s="67"/>
      <c r="L108" s="67"/>
      <c r="M108" s="43"/>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3"/>
      <c r="AQ108" s="23"/>
      <c r="AR108" s="23"/>
      <c r="AS108" s="23"/>
      <c r="AT108" s="23"/>
      <c r="AU108" s="23"/>
      <c r="AV108" s="23"/>
      <c r="AW108" s="23"/>
      <c r="AX108" s="23"/>
    </row>
    <row r="109" spans="1:50" s="49" customFormat="1" x14ac:dyDescent="0.2">
      <c r="A109" s="47"/>
      <c r="B109" s="47"/>
      <c r="C109" s="47"/>
      <c r="D109" s="47"/>
      <c r="E109" s="47"/>
      <c r="F109" s="47"/>
      <c r="G109" s="47"/>
      <c r="H109" s="48"/>
      <c r="I109" s="60"/>
      <c r="J109" s="60"/>
      <c r="K109" s="67"/>
      <c r="L109" s="67"/>
      <c r="M109" s="43"/>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3"/>
      <c r="AQ109" s="23"/>
      <c r="AR109" s="23"/>
      <c r="AS109" s="23"/>
      <c r="AT109" s="23"/>
      <c r="AU109" s="23"/>
      <c r="AV109" s="23"/>
      <c r="AW109" s="23"/>
      <c r="AX109" s="23"/>
    </row>
    <row r="110" spans="1:50" s="49" customFormat="1" x14ac:dyDescent="0.2">
      <c r="A110" s="47"/>
      <c r="B110" s="47"/>
      <c r="C110" s="47"/>
      <c r="D110" s="47"/>
      <c r="E110" s="47"/>
      <c r="F110" s="47"/>
      <c r="G110" s="47"/>
      <c r="H110" s="48"/>
      <c r="I110" s="60"/>
      <c r="J110" s="60"/>
      <c r="K110" s="67"/>
      <c r="L110" s="67"/>
      <c r="M110" s="43"/>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3"/>
      <c r="AQ110" s="23"/>
      <c r="AR110" s="23"/>
      <c r="AS110" s="23"/>
      <c r="AT110" s="23"/>
      <c r="AU110" s="23"/>
      <c r="AV110" s="23"/>
      <c r="AW110" s="23"/>
      <c r="AX110" s="23"/>
    </row>
    <row r="111" spans="1:50" s="49" customFormat="1" x14ac:dyDescent="0.2">
      <c r="A111" s="47"/>
      <c r="B111" s="47"/>
      <c r="C111" s="47"/>
      <c r="D111" s="47"/>
      <c r="E111" s="47"/>
      <c r="F111" s="47"/>
      <c r="G111" s="47"/>
      <c r="H111" s="48"/>
      <c r="I111" s="60"/>
      <c r="J111" s="60"/>
      <c r="K111" s="67"/>
      <c r="L111" s="67"/>
      <c r="M111" s="43"/>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3"/>
      <c r="AQ111" s="23"/>
      <c r="AR111" s="23"/>
      <c r="AS111" s="23"/>
      <c r="AT111" s="23"/>
      <c r="AU111" s="23"/>
      <c r="AV111" s="23"/>
      <c r="AW111" s="23"/>
      <c r="AX111" s="23"/>
    </row>
    <row r="112" spans="1:50" s="49" customFormat="1" x14ac:dyDescent="0.2">
      <c r="A112" s="47"/>
      <c r="B112" s="47"/>
      <c r="C112" s="47"/>
      <c r="D112" s="47"/>
      <c r="E112" s="47"/>
      <c r="F112" s="47"/>
      <c r="G112" s="47"/>
      <c r="H112" s="48"/>
      <c r="I112" s="60"/>
      <c r="J112" s="60"/>
      <c r="K112" s="67"/>
      <c r="L112" s="67"/>
      <c r="M112" s="43"/>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3"/>
      <c r="AQ112" s="23"/>
      <c r="AR112" s="23"/>
      <c r="AS112" s="23"/>
      <c r="AT112" s="23"/>
      <c r="AU112" s="23"/>
      <c r="AV112" s="23"/>
      <c r="AW112" s="23"/>
      <c r="AX112" s="23"/>
    </row>
    <row r="113" spans="1:50" s="49" customFormat="1" x14ac:dyDescent="0.2">
      <c r="A113" s="47"/>
      <c r="B113" s="47"/>
      <c r="C113" s="47"/>
      <c r="D113" s="47"/>
      <c r="E113" s="47"/>
      <c r="F113" s="47"/>
      <c r="G113" s="47"/>
      <c r="H113" s="48"/>
      <c r="I113" s="60"/>
      <c r="J113" s="60"/>
      <c r="K113" s="67"/>
      <c r="L113" s="67"/>
      <c r="M113" s="43"/>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3"/>
      <c r="AQ113" s="23"/>
      <c r="AR113" s="23"/>
      <c r="AS113" s="23"/>
      <c r="AT113" s="23"/>
      <c r="AU113" s="23"/>
      <c r="AV113" s="23"/>
      <c r="AW113" s="23"/>
      <c r="AX113" s="23"/>
    </row>
    <row r="114" spans="1:50" s="49" customFormat="1" x14ac:dyDescent="0.2">
      <c r="A114" s="47"/>
      <c r="B114" s="47"/>
      <c r="C114" s="47"/>
      <c r="D114" s="47"/>
      <c r="E114" s="47"/>
      <c r="F114" s="47"/>
      <c r="G114" s="47"/>
      <c r="H114" s="48"/>
      <c r="I114" s="60"/>
      <c r="J114" s="60"/>
      <c r="K114" s="67"/>
      <c r="L114" s="67"/>
      <c r="M114" s="43"/>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3"/>
      <c r="AQ114" s="23"/>
      <c r="AR114" s="23"/>
      <c r="AS114" s="23"/>
      <c r="AT114" s="23"/>
      <c r="AU114" s="23"/>
      <c r="AV114" s="23"/>
      <c r="AW114" s="23"/>
      <c r="AX114" s="23"/>
    </row>
    <row r="115" spans="1:50" s="49" customFormat="1" x14ac:dyDescent="0.2">
      <c r="A115" s="47"/>
      <c r="B115" s="47"/>
      <c r="C115" s="47"/>
      <c r="D115" s="47"/>
      <c r="E115" s="47"/>
      <c r="F115" s="47"/>
      <c r="G115" s="47"/>
      <c r="H115" s="48"/>
      <c r="I115" s="60"/>
      <c r="J115" s="60"/>
      <c r="K115" s="67"/>
      <c r="L115" s="67"/>
      <c r="M115" s="43"/>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3"/>
      <c r="AQ115" s="23"/>
      <c r="AR115" s="23"/>
      <c r="AS115" s="23"/>
      <c r="AT115" s="23"/>
      <c r="AU115" s="23"/>
      <c r="AV115" s="23"/>
      <c r="AW115" s="23"/>
      <c r="AX115" s="23"/>
    </row>
    <row r="116" spans="1:50" s="49" customFormat="1" x14ac:dyDescent="0.2">
      <c r="A116" s="47"/>
      <c r="B116" s="47"/>
      <c r="C116" s="47"/>
      <c r="D116" s="47"/>
      <c r="E116" s="47"/>
      <c r="F116" s="47"/>
      <c r="G116" s="47"/>
      <c r="H116" s="48"/>
      <c r="I116" s="60"/>
      <c r="J116" s="60"/>
      <c r="K116" s="67"/>
      <c r="L116" s="67"/>
      <c r="M116" s="43"/>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3"/>
      <c r="AQ116" s="23"/>
      <c r="AR116" s="23"/>
      <c r="AS116" s="23"/>
      <c r="AT116" s="23"/>
      <c r="AU116" s="23"/>
      <c r="AV116" s="23"/>
      <c r="AW116" s="23"/>
      <c r="AX116" s="23"/>
    </row>
    <row r="117" spans="1:50" s="49" customFormat="1" x14ac:dyDescent="0.2">
      <c r="A117" s="47"/>
      <c r="B117" s="47"/>
      <c r="C117" s="47"/>
      <c r="D117" s="47"/>
      <c r="E117" s="47"/>
      <c r="F117" s="47"/>
      <c r="G117" s="47"/>
      <c r="H117" s="48"/>
      <c r="I117" s="60"/>
      <c r="J117" s="60"/>
      <c r="K117" s="67"/>
      <c r="L117" s="67"/>
      <c r="M117" s="43"/>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3"/>
      <c r="AQ117" s="23"/>
      <c r="AR117" s="23"/>
      <c r="AS117" s="23"/>
      <c r="AT117" s="23"/>
      <c r="AU117" s="23"/>
      <c r="AV117" s="23"/>
      <c r="AW117" s="23"/>
      <c r="AX117" s="23"/>
    </row>
    <row r="118" spans="1:50" s="49" customFormat="1" x14ac:dyDescent="0.2">
      <c r="A118" s="47"/>
      <c r="B118" s="47"/>
      <c r="C118" s="47"/>
      <c r="D118" s="47"/>
      <c r="E118" s="47"/>
      <c r="F118" s="47"/>
      <c r="G118" s="47"/>
      <c r="H118" s="48"/>
      <c r="I118" s="60"/>
      <c r="J118" s="60"/>
      <c r="K118" s="67"/>
      <c r="L118" s="67"/>
      <c r="M118" s="43"/>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3"/>
      <c r="AQ118" s="23"/>
      <c r="AR118" s="23"/>
      <c r="AS118" s="23"/>
      <c r="AT118" s="23"/>
      <c r="AU118" s="23"/>
      <c r="AV118" s="23"/>
      <c r="AW118" s="23"/>
      <c r="AX118" s="23"/>
    </row>
    <row r="119" spans="1:50" s="49" customFormat="1" x14ac:dyDescent="0.2">
      <c r="A119" s="47"/>
      <c r="B119" s="47"/>
      <c r="C119" s="47"/>
      <c r="D119" s="47"/>
      <c r="E119" s="47"/>
      <c r="F119" s="47"/>
      <c r="G119" s="47"/>
      <c r="H119" s="48"/>
      <c r="I119" s="60"/>
      <c r="J119" s="60"/>
      <c r="K119" s="67"/>
      <c r="L119" s="67"/>
      <c r="M119" s="43"/>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3"/>
      <c r="AQ119" s="23"/>
      <c r="AR119" s="23"/>
      <c r="AS119" s="23"/>
      <c r="AT119" s="23"/>
      <c r="AU119" s="23"/>
      <c r="AV119" s="23"/>
      <c r="AW119" s="23"/>
      <c r="AX119" s="23"/>
    </row>
    <row r="120" spans="1:50" s="49" customFormat="1" x14ac:dyDescent="0.2">
      <c r="A120" s="47"/>
      <c r="B120" s="47"/>
      <c r="C120" s="47"/>
      <c r="D120" s="47"/>
      <c r="E120" s="47"/>
      <c r="F120" s="47"/>
      <c r="G120" s="47"/>
      <c r="H120" s="48"/>
      <c r="I120" s="60"/>
      <c r="J120" s="60"/>
      <c r="K120" s="67"/>
      <c r="L120" s="67"/>
      <c r="M120" s="43"/>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3"/>
      <c r="AQ120" s="23"/>
      <c r="AR120" s="23"/>
      <c r="AS120" s="23"/>
      <c r="AT120" s="23"/>
      <c r="AU120" s="23"/>
      <c r="AV120" s="23"/>
      <c r="AW120" s="23"/>
      <c r="AX120" s="23"/>
    </row>
    <row r="121" spans="1:50" s="49" customFormat="1" x14ac:dyDescent="0.2">
      <c r="A121" s="47"/>
      <c r="B121" s="47"/>
      <c r="C121" s="47"/>
      <c r="D121" s="47"/>
      <c r="E121" s="47"/>
      <c r="F121" s="47"/>
      <c r="G121" s="47"/>
      <c r="H121" s="48"/>
      <c r="I121" s="60"/>
      <c r="J121" s="60"/>
      <c r="K121" s="67"/>
      <c r="L121" s="67"/>
      <c r="M121" s="43"/>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3"/>
      <c r="AQ121" s="23"/>
      <c r="AR121" s="23"/>
      <c r="AS121" s="23"/>
      <c r="AT121" s="23"/>
      <c r="AU121" s="23"/>
      <c r="AV121" s="23"/>
      <c r="AW121" s="23"/>
      <c r="AX121" s="23"/>
    </row>
    <row r="122" spans="1:50" s="49" customFormat="1" x14ac:dyDescent="0.2">
      <c r="A122" s="47"/>
      <c r="B122" s="47"/>
      <c r="C122" s="47"/>
      <c r="D122" s="47"/>
      <c r="E122" s="47"/>
      <c r="F122" s="47"/>
      <c r="G122" s="47"/>
      <c r="H122" s="48"/>
      <c r="I122" s="60"/>
      <c r="J122" s="60"/>
      <c r="K122" s="67"/>
      <c r="L122" s="67"/>
      <c r="M122" s="43"/>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3"/>
      <c r="AQ122" s="23"/>
      <c r="AR122" s="23"/>
      <c r="AS122" s="23"/>
      <c r="AT122" s="23"/>
      <c r="AU122" s="23"/>
      <c r="AV122" s="23"/>
      <c r="AW122" s="23"/>
      <c r="AX122" s="23"/>
    </row>
    <row r="123" spans="1:50" s="49" customFormat="1" x14ac:dyDescent="0.2">
      <c r="A123" s="47"/>
      <c r="B123" s="47"/>
      <c r="C123" s="47"/>
      <c r="D123" s="47"/>
      <c r="E123" s="47"/>
      <c r="F123" s="47"/>
      <c r="G123" s="47"/>
      <c r="H123" s="48"/>
      <c r="I123" s="60"/>
      <c r="J123" s="60"/>
      <c r="K123" s="67"/>
      <c r="L123" s="67"/>
      <c r="M123" s="43"/>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3"/>
      <c r="AQ123" s="23"/>
      <c r="AR123" s="23"/>
      <c r="AS123" s="23"/>
      <c r="AT123" s="23"/>
      <c r="AU123" s="23"/>
      <c r="AV123" s="23"/>
      <c r="AW123" s="23"/>
      <c r="AX123" s="23"/>
    </row>
    <row r="124" spans="1:50" s="49" customFormat="1" x14ac:dyDescent="0.2">
      <c r="A124" s="47"/>
      <c r="B124" s="47"/>
      <c r="C124" s="47"/>
      <c r="D124" s="47"/>
      <c r="E124" s="47"/>
      <c r="F124" s="47"/>
      <c r="G124" s="47"/>
      <c r="H124" s="48"/>
      <c r="I124" s="60"/>
      <c r="J124" s="60"/>
      <c r="K124" s="67"/>
      <c r="L124" s="67"/>
      <c r="M124" s="43"/>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3"/>
      <c r="AQ124" s="23"/>
      <c r="AR124" s="23"/>
      <c r="AS124" s="23"/>
      <c r="AT124" s="23"/>
      <c r="AU124" s="23"/>
      <c r="AV124" s="23"/>
      <c r="AW124" s="23"/>
      <c r="AX124" s="23"/>
    </row>
    <row r="125" spans="1:50" s="49" customFormat="1" x14ac:dyDescent="0.2">
      <c r="A125" s="47"/>
      <c r="B125" s="47"/>
      <c r="C125" s="47"/>
      <c r="D125" s="47"/>
      <c r="E125" s="47"/>
      <c r="F125" s="47"/>
      <c r="G125" s="47"/>
      <c r="H125" s="48"/>
      <c r="I125" s="60"/>
      <c r="J125" s="60"/>
      <c r="K125" s="67"/>
      <c r="L125" s="67"/>
      <c r="M125" s="43"/>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3"/>
      <c r="AQ125" s="23"/>
      <c r="AR125" s="23"/>
      <c r="AS125" s="23"/>
      <c r="AT125" s="23"/>
      <c r="AU125" s="23"/>
      <c r="AV125" s="23"/>
      <c r="AW125" s="23"/>
      <c r="AX125" s="23"/>
    </row>
    <row r="126" spans="1:50" s="49" customFormat="1" x14ac:dyDescent="0.2">
      <c r="A126" s="47"/>
      <c r="B126" s="47"/>
      <c r="C126" s="47"/>
      <c r="D126" s="47"/>
      <c r="E126" s="47"/>
      <c r="F126" s="47"/>
      <c r="G126" s="47"/>
      <c r="H126" s="48"/>
      <c r="I126" s="60"/>
      <c r="J126" s="60"/>
      <c r="K126" s="67"/>
      <c r="L126" s="67"/>
      <c r="M126" s="43"/>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3"/>
      <c r="AQ126" s="23"/>
      <c r="AR126" s="23"/>
      <c r="AS126" s="23"/>
      <c r="AT126" s="23"/>
      <c r="AU126" s="23"/>
      <c r="AV126" s="23"/>
      <c r="AW126" s="23"/>
      <c r="AX126" s="23"/>
    </row>
    <row r="127" spans="1:50" s="49" customFormat="1" x14ac:dyDescent="0.2">
      <c r="A127" s="47"/>
      <c r="B127" s="47"/>
      <c r="C127" s="47"/>
      <c r="D127" s="47"/>
      <c r="E127" s="47"/>
      <c r="F127" s="47"/>
      <c r="G127" s="47"/>
      <c r="H127" s="48"/>
      <c r="I127" s="60"/>
      <c r="J127" s="60"/>
      <c r="K127" s="67"/>
      <c r="L127" s="67"/>
      <c r="M127" s="43"/>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3"/>
      <c r="AQ127" s="23"/>
      <c r="AR127" s="23"/>
      <c r="AS127" s="23"/>
      <c r="AT127" s="23"/>
      <c r="AU127" s="23"/>
      <c r="AV127" s="23"/>
      <c r="AW127" s="23"/>
      <c r="AX127" s="23"/>
    </row>
    <row r="128" spans="1:50" s="49" customFormat="1" x14ac:dyDescent="0.2">
      <c r="A128" s="47"/>
      <c r="B128" s="47"/>
      <c r="C128" s="47"/>
      <c r="D128" s="47"/>
      <c r="E128" s="47"/>
      <c r="F128" s="47"/>
      <c r="G128" s="47"/>
      <c r="H128" s="48"/>
      <c r="I128" s="60"/>
      <c r="J128" s="60"/>
      <c r="K128" s="67"/>
      <c r="L128" s="67"/>
      <c r="M128" s="43"/>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3"/>
      <c r="AQ128" s="23"/>
      <c r="AR128" s="23"/>
      <c r="AS128" s="23"/>
      <c r="AT128" s="23"/>
      <c r="AU128" s="23"/>
      <c r="AV128" s="23"/>
      <c r="AW128" s="23"/>
      <c r="AX128" s="23"/>
    </row>
    <row r="129" spans="1:50" s="49" customFormat="1" x14ac:dyDescent="0.2">
      <c r="A129" s="47"/>
      <c r="B129" s="47"/>
      <c r="C129" s="47"/>
      <c r="D129" s="47"/>
      <c r="E129" s="47"/>
      <c r="F129" s="47"/>
      <c r="G129" s="47"/>
      <c r="H129" s="48"/>
      <c r="I129" s="60"/>
      <c r="J129" s="60"/>
      <c r="K129" s="67"/>
      <c r="L129" s="67"/>
      <c r="M129" s="43"/>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3"/>
      <c r="AQ129" s="23"/>
      <c r="AR129" s="23"/>
      <c r="AS129" s="23"/>
      <c r="AT129" s="23"/>
      <c r="AU129" s="23"/>
      <c r="AV129" s="23"/>
      <c r="AW129" s="23"/>
      <c r="AX129" s="23"/>
    </row>
    <row r="130" spans="1:50" s="49" customFormat="1" x14ac:dyDescent="0.2">
      <c r="A130" s="47"/>
      <c r="B130" s="47"/>
      <c r="C130" s="47"/>
      <c r="D130" s="47"/>
      <c r="E130" s="47"/>
      <c r="F130" s="47"/>
      <c r="G130" s="47"/>
      <c r="H130" s="48"/>
      <c r="I130" s="60"/>
      <c r="J130" s="60"/>
      <c r="K130" s="67"/>
      <c r="L130" s="67"/>
      <c r="M130" s="43"/>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3"/>
      <c r="AQ130" s="23"/>
      <c r="AR130" s="23"/>
      <c r="AS130" s="23"/>
      <c r="AT130" s="23"/>
      <c r="AU130" s="23"/>
      <c r="AV130" s="23"/>
      <c r="AW130" s="23"/>
      <c r="AX130" s="23"/>
    </row>
    <row r="131" spans="1:50" s="49" customFormat="1" x14ac:dyDescent="0.2">
      <c r="A131" s="47"/>
      <c r="B131" s="47"/>
      <c r="C131" s="47"/>
      <c r="D131" s="47"/>
      <c r="E131" s="47"/>
      <c r="F131" s="47"/>
      <c r="G131" s="47"/>
      <c r="H131" s="48"/>
      <c r="I131" s="60"/>
      <c r="J131" s="60"/>
      <c r="K131" s="67"/>
      <c r="L131" s="67"/>
      <c r="M131" s="43"/>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3"/>
      <c r="AQ131" s="23"/>
      <c r="AR131" s="23"/>
      <c r="AS131" s="23"/>
      <c r="AT131" s="23"/>
      <c r="AU131" s="23"/>
      <c r="AV131" s="23"/>
      <c r="AW131" s="23"/>
      <c r="AX131" s="23"/>
    </row>
    <row r="132" spans="1:50" s="49" customFormat="1" x14ac:dyDescent="0.2">
      <c r="A132" s="47"/>
      <c r="B132" s="47"/>
      <c r="C132" s="47"/>
      <c r="D132" s="47"/>
      <c r="E132" s="47"/>
      <c r="F132" s="47"/>
      <c r="G132" s="47"/>
      <c r="H132" s="48"/>
      <c r="I132" s="60"/>
      <c r="J132" s="60"/>
      <c r="K132" s="67"/>
      <c r="L132" s="67"/>
      <c r="M132" s="43"/>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3"/>
      <c r="AQ132" s="23"/>
      <c r="AR132" s="23"/>
      <c r="AS132" s="23"/>
      <c r="AT132" s="23"/>
      <c r="AU132" s="23"/>
      <c r="AV132" s="23"/>
      <c r="AW132" s="23"/>
      <c r="AX132" s="23"/>
    </row>
    <row r="133" spans="1:50" s="49" customFormat="1" x14ac:dyDescent="0.2">
      <c r="A133" s="47"/>
      <c r="B133" s="47"/>
      <c r="C133" s="47"/>
      <c r="D133" s="47"/>
      <c r="E133" s="47"/>
      <c r="F133" s="47"/>
      <c r="G133" s="47"/>
      <c r="H133" s="48"/>
      <c r="I133" s="60"/>
      <c r="J133" s="60"/>
      <c r="K133" s="67"/>
      <c r="L133" s="67"/>
      <c r="M133" s="43"/>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3"/>
      <c r="AQ133" s="23"/>
      <c r="AR133" s="23"/>
      <c r="AS133" s="23"/>
      <c r="AT133" s="23"/>
      <c r="AU133" s="23"/>
      <c r="AV133" s="23"/>
      <c r="AW133" s="23"/>
      <c r="AX133" s="23"/>
    </row>
    <row r="134" spans="1:50" s="49" customFormat="1" x14ac:dyDescent="0.2">
      <c r="A134" s="47"/>
      <c r="B134" s="47"/>
      <c r="C134" s="47"/>
      <c r="D134" s="47"/>
      <c r="E134" s="47"/>
      <c r="F134" s="47"/>
      <c r="G134" s="47"/>
      <c r="H134" s="48"/>
      <c r="I134" s="60"/>
      <c r="J134" s="60"/>
      <c r="K134" s="67"/>
      <c r="L134" s="67"/>
      <c r="M134" s="43"/>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3"/>
      <c r="AQ134" s="23"/>
      <c r="AR134" s="23"/>
      <c r="AS134" s="23"/>
      <c r="AT134" s="23"/>
      <c r="AU134" s="23"/>
      <c r="AV134" s="23"/>
      <c r="AW134" s="23"/>
      <c r="AX134" s="23"/>
    </row>
    <row r="135" spans="1:50" s="49" customFormat="1" x14ac:dyDescent="0.2">
      <c r="A135" s="47"/>
      <c r="B135" s="47"/>
      <c r="C135" s="47"/>
      <c r="D135" s="47"/>
      <c r="E135" s="47"/>
      <c r="F135" s="47"/>
      <c r="G135" s="47"/>
      <c r="H135" s="48"/>
      <c r="I135" s="60"/>
      <c r="J135" s="60"/>
      <c r="K135" s="67"/>
      <c r="L135" s="67"/>
      <c r="M135" s="43"/>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3"/>
      <c r="AQ135" s="23"/>
      <c r="AR135" s="23"/>
      <c r="AS135" s="23"/>
      <c r="AT135" s="23"/>
      <c r="AU135" s="23"/>
      <c r="AV135" s="23"/>
      <c r="AW135" s="23"/>
      <c r="AX135" s="23"/>
    </row>
    <row r="136" spans="1:50" s="49" customFormat="1" x14ac:dyDescent="0.2">
      <c r="A136" s="47"/>
      <c r="B136" s="47"/>
      <c r="C136" s="47"/>
      <c r="D136" s="47"/>
      <c r="E136" s="47"/>
      <c r="F136" s="47"/>
      <c r="G136" s="47"/>
      <c r="H136" s="48"/>
      <c r="I136" s="60"/>
      <c r="J136" s="60"/>
      <c r="K136" s="67"/>
      <c r="L136" s="67"/>
      <c r="M136" s="43"/>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3"/>
      <c r="AQ136" s="23"/>
      <c r="AR136" s="23"/>
      <c r="AS136" s="23"/>
      <c r="AT136" s="23"/>
      <c r="AU136" s="23"/>
      <c r="AV136" s="23"/>
      <c r="AW136" s="23"/>
      <c r="AX136" s="23"/>
    </row>
    <row r="137" spans="1:50" s="49" customFormat="1" x14ac:dyDescent="0.2">
      <c r="A137" s="47"/>
      <c r="B137" s="47"/>
      <c r="C137" s="47"/>
      <c r="D137" s="47"/>
      <c r="E137" s="47"/>
      <c r="F137" s="47"/>
      <c r="G137" s="47"/>
      <c r="H137" s="48"/>
      <c r="I137" s="60"/>
      <c r="J137" s="60"/>
      <c r="K137" s="67"/>
      <c r="L137" s="67"/>
      <c r="M137" s="43"/>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3"/>
      <c r="AQ137" s="23"/>
      <c r="AR137" s="23"/>
      <c r="AS137" s="23"/>
      <c r="AT137" s="23"/>
      <c r="AU137" s="23"/>
      <c r="AV137" s="23"/>
      <c r="AW137" s="23"/>
      <c r="AX137" s="23"/>
    </row>
    <row r="138" spans="1:50" s="49" customFormat="1" x14ac:dyDescent="0.2">
      <c r="A138" s="47"/>
      <c r="B138" s="47"/>
      <c r="C138" s="47"/>
      <c r="D138" s="47"/>
      <c r="E138" s="47"/>
      <c r="F138" s="47"/>
      <c r="G138" s="47"/>
      <c r="H138" s="48"/>
      <c r="I138" s="60"/>
      <c r="J138" s="60"/>
      <c r="K138" s="67"/>
      <c r="L138" s="67"/>
      <c r="M138" s="43"/>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3"/>
      <c r="AQ138" s="23"/>
      <c r="AR138" s="23"/>
      <c r="AS138" s="23"/>
      <c r="AT138" s="23"/>
      <c r="AU138" s="23"/>
      <c r="AV138" s="23"/>
      <c r="AW138" s="23"/>
      <c r="AX138" s="23"/>
    </row>
    <row r="139" spans="1:50" s="49" customFormat="1" x14ac:dyDescent="0.2">
      <c r="A139" s="47"/>
      <c r="B139" s="47"/>
      <c r="C139" s="47"/>
      <c r="D139" s="47"/>
      <c r="E139" s="47"/>
      <c r="F139" s="47"/>
      <c r="G139" s="47"/>
      <c r="H139" s="48"/>
      <c r="I139" s="60"/>
      <c r="J139" s="60"/>
      <c r="K139" s="67"/>
      <c r="L139" s="67"/>
      <c r="M139" s="43"/>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3"/>
      <c r="AQ139" s="23"/>
      <c r="AR139" s="23"/>
      <c r="AS139" s="23"/>
      <c r="AT139" s="23"/>
      <c r="AU139" s="23"/>
      <c r="AV139" s="23"/>
      <c r="AW139" s="23"/>
      <c r="AX139" s="23"/>
    </row>
    <row r="140" spans="1:50" s="49" customFormat="1" x14ac:dyDescent="0.2">
      <c r="A140" s="47"/>
      <c r="B140" s="47"/>
      <c r="C140" s="47"/>
      <c r="D140" s="47"/>
      <c r="E140" s="47"/>
      <c r="F140" s="47"/>
      <c r="G140" s="47"/>
      <c r="H140" s="48"/>
      <c r="I140" s="60"/>
      <c r="J140" s="60"/>
      <c r="K140" s="67"/>
      <c r="L140" s="67"/>
      <c r="M140" s="43"/>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3"/>
      <c r="AQ140" s="23"/>
      <c r="AR140" s="23"/>
      <c r="AS140" s="23"/>
      <c r="AT140" s="23"/>
      <c r="AU140" s="23"/>
      <c r="AV140" s="23"/>
      <c r="AW140" s="23"/>
      <c r="AX140" s="23"/>
    </row>
    <row r="141" spans="1:50" s="49" customFormat="1" x14ac:dyDescent="0.2">
      <c r="A141" s="47"/>
      <c r="B141" s="47"/>
      <c r="C141" s="47"/>
      <c r="D141" s="47"/>
      <c r="E141" s="47"/>
      <c r="F141" s="47"/>
      <c r="G141" s="47"/>
      <c r="H141" s="48"/>
      <c r="I141" s="60"/>
      <c r="J141" s="60"/>
      <c r="K141" s="67"/>
      <c r="L141" s="67"/>
      <c r="M141" s="43"/>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3"/>
      <c r="AQ141" s="23"/>
      <c r="AR141" s="23"/>
      <c r="AS141" s="23"/>
      <c r="AT141" s="23"/>
      <c r="AU141" s="23"/>
      <c r="AV141" s="23"/>
      <c r="AW141" s="23"/>
      <c r="AX141" s="23"/>
    </row>
    <row r="142" spans="1:50" s="49" customFormat="1" x14ac:dyDescent="0.2">
      <c r="A142" s="47"/>
      <c r="B142" s="47"/>
      <c r="C142" s="47"/>
      <c r="D142" s="47"/>
      <c r="E142" s="47"/>
      <c r="F142" s="47"/>
      <c r="G142" s="47"/>
      <c r="H142" s="48"/>
      <c r="I142" s="60"/>
      <c r="J142" s="60"/>
      <c r="K142" s="67"/>
      <c r="L142" s="67"/>
      <c r="M142" s="43"/>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3"/>
      <c r="AQ142" s="23"/>
      <c r="AR142" s="23"/>
      <c r="AS142" s="23"/>
      <c r="AT142" s="23"/>
      <c r="AU142" s="23"/>
      <c r="AV142" s="23"/>
      <c r="AW142" s="23"/>
      <c r="AX142" s="23"/>
    </row>
    <row r="143" spans="1:50" s="49" customFormat="1" x14ac:dyDescent="0.2">
      <c r="A143" s="47"/>
      <c r="B143" s="47"/>
      <c r="C143" s="47"/>
      <c r="D143" s="47"/>
      <c r="E143" s="47"/>
      <c r="F143" s="47"/>
      <c r="G143" s="47"/>
      <c r="H143" s="48"/>
      <c r="I143" s="60"/>
      <c r="J143" s="60"/>
      <c r="K143" s="67"/>
      <c r="L143" s="67"/>
      <c r="M143" s="43"/>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3"/>
      <c r="AQ143" s="23"/>
      <c r="AR143" s="23"/>
      <c r="AS143" s="23"/>
      <c r="AT143" s="23"/>
      <c r="AU143" s="23"/>
      <c r="AV143" s="23"/>
      <c r="AW143" s="23"/>
      <c r="AX143" s="23"/>
    </row>
    <row r="144" spans="1:50" s="49" customFormat="1" x14ac:dyDescent="0.2">
      <c r="A144" s="47"/>
      <c r="B144" s="47"/>
      <c r="C144" s="47"/>
      <c r="D144" s="47"/>
      <c r="E144" s="47"/>
      <c r="F144" s="47"/>
      <c r="G144" s="47"/>
      <c r="H144" s="48"/>
      <c r="I144" s="60"/>
      <c r="J144" s="60"/>
      <c r="K144" s="67"/>
      <c r="L144" s="67"/>
      <c r="M144" s="43"/>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3"/>
      <c r="AQ144" s="23"/>
      <c r="AR144" s="23"/>
      <c r="AS144" s="23"/>
      <c r="AT144" s="23"/>
      <c r="AU144" s="23"/>
      <c r="AV144" s="23"/>
      <c r="AW144" s="23"/>
      <c r="AX144" s="23"/>
    </row>
    <row r="145" spans="1:50" s="49" customFormat="1" x14ac:dyDescent="0.2">
      <c r="A145" s="47"/>
      <c r="B145" s="47"/>
      <c r="C145" s="47"/>
      <c r="D145" s="47"/>
      <c r="E145" s="47"/>
      <c r="F145" s="47"/>
      <c r="G145" s="47"/>
      <c r="H145" s="48"/>
      <c r="I145" s="60"/>
      <c r="J145" s="60"/>
      <c r="K145" s="67"/>
      <c r="L145" s="67"/>
      <c r="M145" s="43"/>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3"/>
      <c r="AQ145" s="23"/>
      <c r="AR145" s="23"/>
      <c r="AS145" s="23"/>
      <c r="AT145" s="23"/>
      <c r="AU145" s="23"/>
      <c r="AV145" s="23"/>
      <c r="AW145" s="23"/>
      <c r="AX145" s="23"/>
    </row>
    <row r="146" spans="1:50" s="49" customFormat="1" x14ac:dyDescent="0.2">
      <c r="A146" s="47"/>
      <c r="B146" s="47"/>
      <c r="C146" s="47"/>
      <c r="D146" s="47"/>
      <c r="E146" s="47"/>
      <c r="F146" s="47"/>
      <c r="G146" s="47"/>
      <c r="H146" s="48"/>
      <c r="I146" s="60"/>
      <c r="J146" s="60"/>
      <c r="K146" s="67"/>
      <c r="L146" s="67"/>
      <c r="M146" s="43"/>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3"/>
      <c r="AQ146" s="23"/>
      <c r="AR146" s="23"/>
      <c r="AS146" s="23"/>
      <c r="AT146" s="23"/>
      <c r="AU146" s="23"/>
      <c r="AV146" s="23"/>
      <c r="AW146" s="23"/>
      <c r="AX146" s="23"/>
    </row>
    <row r="147" spans="1:50" s="49" customFormat="1" x14ac:dyDescent="0.2">
      <c r="A147" s="47"/>
      <c r="B147" s="47"/>
      <c r="C147" s="47"/>
      <c r="D147" s="47"/>
      <c r="E147" s="47"/>
      <c r="F147" s="47"/>
      <c r="G147" s="47"/>
      <c r="H147" s="48"/>
      <c r="I147" s="60"/>
      <c r="J147" s="60"/>
      <c r="K147" s="67"/>
      <c r="L147" s="67"/>
      <c r="M147" s="43"/>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3"/>
      <c r="AQ147" s="23"/>
      <c r="AR147" s="23"/>
      <c r="AS147" s="23"/>
      <c r="AT147" s="23"/>
      <c r="AU147" s="23"/>
      <c r="AV147" s="23"/>
      <c r="AW147" s="23"/>
      <c r="AX147" s="23"/>
    </row>
    <row r="148" spans="1:50" s="49" customFormat="1" x14ac:dyDescent="0.2">
      <c r="A148" s="47"/>
      <c r="B148" s="47"/>
      <c r="C148" s="47"/>
      <c r="D148" s="47"/>
      <c r="E148" s="47"/>
      <c r="F148" s="47"/>
      <c r="G148" s="47"/>
      <c r="H148" s="48"/>
      <c r="I148" s="60"/>
      <c r="J148" s="60"/>
      <c r="K148" s="67"/>
      <c r="L148" s="67"/>
      <c r="M148" s="43"/>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3"/>
      <c r="AQ148" s="23"/>
      <c r="AR148" s="23"/>
      <c r="AS148" s="23"/>
      <c r="AT148" s="23"/>
      <c r="AU148" s="23"/>
      <c r="AV148" s="23"/>
      <c r="AW148" s="23"/>
      <c r="AX148" s="23"/>
    </row>
    <row r="149" spans="1:50" s="49" customFormat="1" x14ac:dyDescent="0.2">
      <c r="A149" s="47"/>
      <c r="B149" s="47"/>
      <c r="C149" s="47"/>
      <c r="D149" s="47"/>
      <c r="E149" s="47"/>
      <c r="F149" s="47"/>
      <c r="G149" s="47"/>
      <c r="H149" s="48"/>
      <c r="I149" s="60"/>
      <c r="J149" s="60"/>
      <c r="K149" s="67"/>
      <c r="L149" s="67"/>
      <c r="M149" s="43"/>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3"/>
      <c r="AQ149" s="23"/>
      <c r="AR149" s="23"/>
      <c r="AS149" s="23"/>
      <c r="AT149" s="23"/>
      <c r="AU149" s="23"/>
      <c r="AV149" s="23"/>
      <c r="AW149" s="23"/>
      <c r="AX149" s="23"/>
    </row>
    <row r="150" spans="1:50" s="49" customFormat="1" x14ac:dyDescent="0.2">
      <c r="A150" s="47"/>
      <c r="B150" s="47"/>
      <c r="C150" s="47"/>
      <c r="D150" s="47"/>
      <c r="E150" s="47"/>
      <c r="F150" s="47"/>
      <c r="G150" s="47"/>
      <c r="H150" s="48"/>
      <c r="I150" s="60"/>
      <c r="J150" s="60"/>
      <c r="K150" s="67"/>
      <c r="L150" s="67"/>
      <c r="M150" s="43"/>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3"/>
      <c r="AQ150" s="23"/>
      <c r="AR150" s="23"/>
      <c r="AS150" s="23"/>
      <c r="AT150" s="23"/>
      <c r="AU150" s="23"/>
      <c r="AV150" s="23"/>
      <c r="AW150" s="23"/>
      <c r="AX150" s="23"/>
    </row>
    <row r="151" spans="1:50" s="49" customFormat="1" x14ac:dyDescent="0.2">
      <c r="A151" s="47"/>
      <c r="B151" s="47"/>
      <c r="C151" s="47"/>
      <c r="D151" s="47"/>
      <c r="E151" s="47"/>
      <c r="F151" s="47"/>
      <c r="G151" s="47"/>
      <c r="H151" s="48"/>
      <c r="I151" s="60"/>
      <c r="J151" s="60"/>
      <c r="K151" s="67"/>
      <c r="L151" s="67"/>
      <c r="M151" s="43"/>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3"/>
      <c r="AQ151" s="23"/>
      <c r="AR151" s="23"/>
      <c r="AS151" s="23"/>
      <c r="AT151" s="23"/>
      <c r="AU151" s="23"/>
      <c r="AV151" s="23"/>
      <c r="AW151" s="23"/>
      <c r="AX151" s="23"/>
    </row>
    <row r="152" spans="1:50" s="49" customFormat="1" x14ac:dyDescent="0.2">
      <c r="A152" s="47"/>
      <c r="B152" s="47"/>
      <c r="C152" s="47"/>
      <c r="D152" s="47"/>
      <c r="E152" s="47"/>
      <c r="F152" s="47"/>
      <c r="G152" s="47"/>
      <c r="H152" s="48"/>
      <c r="I152" s="60"/>
      <c r="J152" s="60"/>
      <c r="K152" s="67"/>
      <c r="L152" s="67"/>
      <c r="M152" s="43"/>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3"/>
      <c r="AQ152" s="23"/>
      <c r="AR152" s="23"/>
      <c r="AS152" s="23"/>
      <c r="AT152" s="23"/>
      <c r="AU152" s="23"/>
      <c r="AV152" s="23"/>
      <c r="AW152" s="23"/>
      <c r="AX152" s="23"/>
    </row>
    <row r="153" spans="1:50" s="49" customFormat="1" x14ac:dyDescent="0.2">
      <c r="A153" s="47"/>
      <c r="B153" s="47"/>
      <c r="C153" s="47"/>
      <c r="D153" s="47"/>
      <c r="E153" s="47"/>
      <c r="F153" s="47"/>
      <c r="G153" s="47"/>
      <c r="H153" s="48"/>
      <c r="I153" s="60"/>
      <c r="J153" s="60"/>
      <c r="K153" s="67"/>
      <c r="L153" s="67"/>
      <c r="M153" s="43"/>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3"/>
      <c r="AQ153" s="23"/>
      <c r="AR153" s="23"/>
      <c r="AS153" s="23"/>
      <c r="AT153" s="23"/>
      <c r="AU153" s="23"/>
      <c r="AV153" s="23"/>
      <c r="AW153" s="23"/>
      <c r="AX153" s="23"/>
    </row>
    <row r="154" spans="1:50" s="49" customFormat="1" x14ac:dyDescent="0.2">
      <c r="A154" s="47"/>
      <c r="B154" s="47"/>
      <c r="C154" s="47"/>
      <c r="D154" s="47"/>
      <c r="E154" s="47"/>
      <c r="F154" s="47"/>
      <c r="G154" s="47"/>
      <c r="H154" s="48"/>
      <c r="I154" s="60"/>
      <c r="J154" s="60"/>
      <c r="K154" s="67"/>
      <c r="L154" s="67"/>
      <c r="M154" s="43"/>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3"/>
      <c r="AQ154" s="23"/>
      <c r="AR154" s="23"/>
      <c r="AS154" s="23"/>
      <c r="AT154" s="23"/>
      <c r="AU154" s="23"/>
      <c r="AV154" s="23"/>
      <c r="AW154" s="23"/>
      <c r="AX154" s="23"/>
    </row>
    <row r="155" spans="1:50" s="49" customFormat="1" x14ac:dyDescent="0.2">
      <c r="A155" s="47"/>
      <c r="B155" s="47"/>
      <c r="C155" s="47"/>
      <c r="D155" s="47"/>
      <c r="E155" s="47"/>
      <c r="F155" s="47"/>
      <c r="G155" s="47"/>
      <c r="H155" s="48"/>
      <c r="I155" s="60"/>
      <c r="J155" s="60"/>
      <c r="K155" s="67"/>
      <c r="L155" s="67"/>
      <c r="M155" s="43"/>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3"/>
      <c r="AQ155" s="23"/>
      <c r="AR155" s="23"/>
      <c r="AS155" s="23"/>
      <c r="AT155" s="23"/>
      <c r="AU155" s="23"/>
      <c r="AV155" s="23"/>
      <c r="AW155" s="23"/>
      <c r="AX155" s="23"/>
    </row>
    <row r="156" spans="1:50" s="49" customFormat="1" x14ac:dyDescent="0.2">
      <c r="A156" s="47"/>
      <c r="B156" s="47"/>
      <c r="C156" s="47"/>
      <c r="D156" s="47"/>
      <c r="E156" s="47"/>
      <c r="F156" s="47"/>
      <c r="G156" s="47"/>
      <c r="H156" s="48"/>
      <c r="I156" s="60"/>
      <c r="J156" s="60"/>
      <c r="K156" s="67"/>
      <c r="L156" s="67"/>
      <c r="M156" s="43"/>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3"/>
      <c r="AQ156" s="23"/>
      <c r="AR156" s="23"/>
      <c r="AS156" s="23"/>
      <c r="AT156" s="23"/>
      <c r="AU156" s="23"/>
      <c r="AV156" s="23"/>
      <c r="AW156" s="23"/>
      <c r="AX156" s="23"/>
    </row>
    <row r="157" spans="1:50" s="49" customFormat="1" x14ac:dyDescent="0.2">
      <c r="A157" s="47"/>
      <c r="B157" s="47"/>
      <c r="C157" s="47"/>
      <c r="D157" s="47"/>
      <c r="E157" s="47"/>
      <c r="F157" s="47"/>
      <c r="G157" s="47"/>
      <c r="H157" s="48"/>
      <c r="I157" s="60"/>
      <c r="J157" s="60"/>
      <c r="K157" s="67"/>
      <c r="L157" s="67"/>
      <c r="M157" s="43"/>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3"/>
      <c r="AQ157" s="23"/>
      <c r="AR157" s="23"/>
      <c r="AS157" s="23"/>
      <c r="AT157" s="23"/>
      <c r="AU157" s="23"/>
      <c r="AV157" s="23"/>
      <c r="AW157" s="23"/>
      <c r="AX157" s="23"/>
    </row>
    <row r="158" spans="1:50" s="49" customFormat="1" x14ac:dyDescent="0.2">
      <c r="A158" s="47"/>
      <c r="B158" s="47"/>
      <c r="C158" s="47"/>
      <c r="D158" s="47"/>
      <c r="E158" s="47"/>
      <c r="F158" s="47"/>
      <c r="G158" s="47"/>
      <c r="H158" s="48"/>
      <c r="I158" s="60"/>
      <c r="J158" s="60"/>
      <c r="K158" s="67"/>
      <c r="L158" s="67"/>
      <c r="M158" s="43"/>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3"/>
      <c r="AQ158" s="23"/>
      <c r="AR158" s="23"/>
      <c r="AS158" s="23"/>
      <c r="AT158" s="23"/>
      <c r="AU158" s="23"/>
      <c r="AV158" s="23"/>
      <c r="AW158" s="23"/>
      <c r="AX158" s="23"/>
    </row>
    <row r="159" spans="1:50" s="49" customFormat="1" x14ac:dyDescent="0.2">
      <c r="A159" s="47"/>
      <c r="B159" s="47"/>
      <c r="C159" s="47"/>
      <c r="D159" s="47"/>
      <c r="E159" s="47"/>
      <c r="F159" s="47"/>
      <c r="G159" s="47"/>
      <c r="H159" s="48"/>
      <c r="I159" s="60"/>
      <c r="J159" s="60"/>
      <c r="K159" s="67"/>
      <c r="L159" s="67"/>
      <c r="M159" s="43"/>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3"/>
      <c r="AQ159" s="23"/>
      <c r="AR159" s="23"/>
      <c r="AS159" s="23"/>
      <c r="AT159" s="23"/>
      <c r="AU159" s="23"/>
      <c r="AV159" s="23"/>
      <c r="AW159" s="23"/>
      <c r="AX159" s="23"/>
    </row>
    <row r="160" spans="1:50" s="49" customFormat="1" x14ac:dyDescent="0.2">
      <c r="A160" s="47"/>
      <c r="B160" s="47"/>
      <c r="C160" s="47"/>
      <c r="D160" s="47"/>
      <c r="E160" s="47"/>
      <c r="F160" s="47"/>
      <c r="G160" s="47"/>
      <c r="H160" s="48"/>
      <c r="I160" s="60"/>
      <c r="J160" s="60"/>
      <c r="K160" s="67"/>
      <c r="L160" s="67"/>
      <c r="M160" s="43"/>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3"/>
      <c r="AQ160" s="23"/>
      <c r="AR160" s="23"/>
      <c r="AS160" s="23"/>
      <c r="AT160" s="23"/>
      <c r="AU160" s="23"/>
      <c r="AV160" s="23"/>
      <c r="AW160" s="23"/>
      <c r="AX160" s="23"/>
    </row>
    <row r="161" spans="1:50" s="49" customFormat="1" x14ac:dyDescent="0.2">
      <c r="A161" s="47"/>
      <c r="B161" s="47"/>
      <c r="C161" s="47"/>
      <c r="D161" s="47"/>
      <c r="E161" s="47"/>
      <c r="F161" s="47"/>
      <c r="G161" s="47"/>
      <c r="H161" s="48"/>
      <c r="I161" s="60"/>
      <c r="J161" s="60"/>
      <c r="K161" s="67"/>
      <c r="L161" s="67"/>
      <c r="M161" s="43"/>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3"/>
      <c r="AQ161" s="23"/>
      <c r="AR161" s="23"/>
      <c r="AS161" s="23"/>
      <c r="AT161" s="23"/>
      <c r="AU161" s="23"/>
      <c r="AV161" s="23"/>
      <c r="AW161" s="23"/>
      <c r="AX161" s="23"/>
    </row>
    <row r="162" spans="1:50" s="49" customFormat="1" x14ac:dyDescent="0.2">
      <c r="A162" s="47"/>
      <c r="B162" s="47"/>
      <c r="C162" s="47"/>
      <c r="D162" s="47"/>
      <c r="E162" s="47"/>
      <c r="F162" s="47"/>
      <c r="G162" s="47"/>
      <c r="H162" s="48"/>
      <c r="I162" s="60"/>
      <c r="J162" s="60"/>
      <c r="K162" s="67"/>
      <c r="L162" s="67"/>
      <c r="M162" s="43"/>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3"/>
      <c r="AQ162" s="23"/>
      <c r="AR162" s="23"/>
      <c r="AS162" s="23"/>
      <c r="AT162" s="23"/>
      <c r="AU162" s="23"/>
      <c r="AV162" s="23"/>
      <c r="AW162" s="23"/>
      <c r="AX162" s="23"/>
    </row>
    <row r="163" spans="1:50" s="49" customFormat="1" x14ac:dyDescent="0.2">
      <c r="A163" s="47"/>
      <c r="B163" s="47"/>
      <c r="C163" s="47"/>
      <c r="D163" s="47"/>
      <c r="E163" s="47"/>
      <c r="F163" s="47"/>
      <c r="G163" s="47"/>
      <c r="H163" s="48"/>
      <c r="I163" s="60"/>
      <c r="J163" s="60"/>
      <c r="K163" s="67"/>
      <c r="L163" s="67"/>
      <c r="M163" s="43"/>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3"/>
      <c r="AQ163" s="23"/>
      <c r="AR163" s="23"/>
      <c r="AS163" s="23"/>
      <c r="AT163" s="23"/>
      <c r="AU163" s="23"/>
      <c r="AV163" s="23"/>
      <c r="AW163" s="23"/>
      <c r="AX163" s="23"/>
    </row>
    <row r="164" spans="1:50" s="49" customFormat="1" x14ac:dyDescent="0.2">
      <c r="A164" s="47"/>
      <c r="B164" s="47"/>
      <c r="C164" s="47"/>
      <c r="D164" s="47"/>
      <c r="E164" s="47"/>
      <c r="F164" s="47"/>
      <c r="G164" s="47"/>
      <c r="H164" s="48"/>
      <c r="I164" s="60"/>
      <c r="J164" s="60"/>
      <c r="K164" s="67"/>
      <c r="L164" s="67"/>
      <c r="M164" s="43"/>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3"/>
      <c r="AQ164" s="23"/>
      <c r="AR164" s="23"/>
      <c r="AS164" s="23"/>
      <c r="AT164" s="23"/>
      <c r="AU164" s="23"/>
      <c r="AV164" s="23"/>
      <c r="AW164" s="23"/>
      <c r="AX164" s="23"/>
    </row>
    <row r="165" spans="1:50" s="49" customFormat="1" x14ac:dyDescent="0.2">
      <c r="A165" s="47"/>
      <c r="B165" s="47"/>
      <c r="C165" s="47"/>
      <c r="D165" s="47"/>
      <c r="E165" s="47"/>
      <c r="F165" s="47"/>
      <c r="G165" s="47"/>
      <c r="H165" s="48"/>
      <c r="I165" s="60"/>
      <c r="J165" s="60"/>
      <c r="K165" s="67"/>
      <c r="L165" s="67"/>
      <c r="M165" s="43"/>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3"/>
      <c r="AQ165" s="23"/>
      <c r="AR165" s="23"/>
      <c r="AS165" s="23"/>
      <c r="AT165" s="23"/>
      <c r="AU165" s="23"/>
      <c r="AV165" s="23"/>
      <c r="AW165" s="23"/>
      <c r="AX165" s="23"/>
    </row>
    <row r="166" spans="1:50" s="49" customFormat="1" x14ac:dyDescent="0.2">
      <c r="A166" s="47"/>
      <c r="B166" s="47"/>
      <c r="C166" s="47"/>
      <c r="D166" s="47"/>
      <c r="E166" s="47"/>
      <c r="F166" s="47"/>
      <c r="G166" s="47"/>
      <c r="H166" s="48"/>
      <c r="I166" s="60"/>
      <c r="J166" s="60"/>
      <c r="K166" s="67"/>
      <c r="L166" s="67"/>
      <c r="M166" s="43"/>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3"/>
      <c r="AQ166" s="23"/>
      <c r="AR166" s="23"/>
      <c r="AS166" s="23"/>
      <c r="AT166" s="23"/>
      <c r="AU166" s="23"/>
      <c r="AV166" s="23"/>
      <c r="AW166" s="23"/>
      <c r="AX166" s="23"/>
    </row>
    <row r="167" spans="1:50" s="49" customFormat="1" x14ac:dyDescent="0.2">
      <c r="A167" s="47"/>
      <c r="B167" s="47"/>
      <c r="C167" s="47"/>
      <c r="D167" s="47"/>
      <c r="E167" s="47"/>
      <c r="F167" s="47"/>
      <c r="G167" s="47"/>
      <c r="H167" s="48"/>
      <c r="I167" s="60"/>
      <c r="J167" s="60"/>
      <c r="K167" s="67"/>
      <c r="L167" s="67"/>
      <c r="M167" s="43"/>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3"/>
      <c r="AQ167" s="23"/>
      <c r="AR167" s="23"/>
      <c r="AS167" s="23"/>
      <c r="AT167" s="23"/>
      <c r="AU167" s="23"/>
      <c r="AV167" s="23"/>
      <c r="AW167" s="23"/>
      <c r="AX167" s="23"/>
    </row>
    <row r="168" spans="1:50" s="49" customFormat="1" x14ac:dyDescent="0.2">
      <c r="A168" s="47"/>
      <c r="B168" s="47"/>
      <c r="C168" s="47"/>
      <c r="D168" s="47"/>
      <c r="E168" s="47"/>
      <c r="F168" s="47"/>
      <c r="G168" s="47"/>
      <c r="H168" s="48"/>
      <c r="I168" s="60"/>
      <c r="J168" s="60"/>
      <c r="K168" s="67"/>
      <c r="L168" s="67"/>
      <c r="M168" s="43"/>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3"/>
      <c r="AQ168" s="23"/>
      <c r="AR168" s="23"/>
      <c r="AS168" s="23"/>
      <c r="AT168" s="23"/>
      <c r="AU168" s="23"/>
      <c r="AV168" s="23"/>
      <c r="AW168" s="23"/>
      <c r="AX168" s="23"/>
    </row>
    <row r="169" spans="1:50" s="49" customFormat="1" x14ac:dyDescent="0.2">
      <c r="A169" s="47"/>
      <c r="B169" s="47"/>
      <c r="C169" s="47"/>
      <c r="D169" s="47"/>
      <c r="E169" s="47"/>
      <c r="F169" s="47"/>
      <c r="G169" s="47"/>
      <c r="H169" s="48"/>
      <c r="I169" s="60"/>
      <c r="J169" s="60"/>
      <c r="K169" s="67"/>
      <c r="L169" s="67"/>
      <c r="M169" s="43"/>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3"/>
      <c r="AQ169" s="23"/>
      <c r="AR169" s="23"/>
      <c r="AS169" s="23"/>
      <c r="AT169" s="23"/>
      <c r="AU169" s="23"/>
      <c r="AV169" s="23"/>
      <c r="AW169" s="23"/>
      <c r="AX169" s="23"/>
    </row>
    <row r="170" spans="1:50" s="49" customFormat="1" x14ac:dyDescent="0.2">
      <c r="A170" s="47"/>
      <c r="B170" s="47"/>
      <c r="C170" s="47"/>
      <c r="D170" s="47"/>
      <c r="E170" s="47"/>
      <c r="F170" s="47"/>
      <c r="G170" s="47"/>
      <c r="H170" s="48"/>
      <c r="I170" s="60"/>
      <c r="J170" s="60"/>
      <c r="K170" s="67"/>
      <c r="L170" s="67"/>
      <c r="M170" s="43"/>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3"/>
      <c r="AQ170" s="23"/>
      <c r="AR170" s="23"/>
      <c r="AS170" s="23"/>
      <c r="AT170" s="23"/>
      <c r="AU170" s="23"/>
      <c r="AV170" s="23"/>
      <c r="AW170" s="23"/>
      <c r="AX170" s="23"/>
    </row>
    <row r="171" spans="1:50" s="49" customFormat="1" x14ac:dyDescent="0.2">
      <c r="A171" s="47"/>
      <c r="B171" s="47"/>
      <c r="C171" s="47"/>
      <c r="D171" s="47"/>
      <c r="E171" s="47"/>
      <c r="F171" s="47"/>
      <c r="G171" s="47"/>
      <c r="H171" s="48"/>
      <c r="I171" s="60"/>
      <c r="J171" s="60"/>
      <c r="K171" s="67"/>
      <c r="L171" s="67"/>
      <c r="M171" s="43"/>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3"/>
      <c r="AQ171" s="23"/>
      <c r="AR171" s="23"/>
      <c r="AS171" s="23"/>
      <c r="AT171" s="23"/>
      <c r="AU171" s="23"/>
      <c r="AV171" s="23"/>
      <c r="AW171" s="23"/>
      <c r="AX171" s="23"/>
    </row>
    <row r="172" spans="1:50" s="49" customFormat="1" x14ac:dyDescent="0.2">
      <c r="A172" s="47"/>
      <c r="B172" s="47"/>
      <c r="C172" s="47"/>
      <c r="D172" s="47"/>
      <c r="E172" s="47"/>
      <c r="F172" s="47"/>
      <c r="G172" s="47"/>
      <c r="H172" s="48"/>
      <c r="I172" s="60"/>
      <c r="J172" s="60"/>
      <c r="K172" s="67"/>
      <c r="L172" s="67"/>
      <c r="M172" s="43"/>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3"/>
      <c r="AQ172" s="23"/>
      <c r="AR172" s="23"/>
      <c r="AS172" s="23"/>
      <c r="AT172" s="23"/>
      <c r="AU172" s="23"/>
      <c r="AV172" s="23"/>
      <c r="AW172" s="23"/>
      <c r="AX172" s="23"/>
    </row>
    <row r="173" spans="1:50" s="49" customFormat="1" x14ac:dyDescent="0.2">
      <c r="A173" s="47"/>
      <c r="B173" s="47"/>
      <c r="C173" s="47"/>
      <c r="D173" s="47"/>
      <c r="E173" s="47"/>
      <c r="F173" s="47"/>
      <c r="G173" s="47"/>
      <c r="H173" s="48"/>
      <c r="I173" s="60"/>
      <c r="J173" s="60"/>
      <c r="K173" s="67"/>
      <c r="L173" s="67"/>
      <c r="M173" s="43"/>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3"/>
      <c r="AQ173" s="23"/>
      <c r="AR173" s="23"/>
      <c r="AS173" s="23"/>
      <c r="AT173" s="23"/>
      <c r="AU173" s="23"/>
      <c r="AV173" s="23"/>
      <c r="AW173" s="23"/>
      <c r="AX173" s="23"/>
    </row>
    <row r="174" spans="1:50" s="49" customFormat="1" x14ac:dyDescent="0.2">
      <c r="A174" s="47"/>
      <c r="B174" s="47"/>
      <c r="C174" s="47"/>
      <c r="D174" s="47"/>
      <c r="E174" s="47"/>
      <c r="F174" s="47"/>
      <c r="G174" s="47"/>
      <c r="H174" s="48"/>
      <c r="I174" s="60"/>
      <c r="J174" s="60"/>
      <c r="K174" s="67"/>
      <c r="L174" s="67"/>
      <c r="M174" s="43"/>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3"/>
      <c r="AQ174" s="23"/>
      <c r="AR174" s="23"/>
      <c r="AS174" s="23"/>
      <c r="AT174" s="23"/>
      <c r="AU174" s="23"/>
      <c r="AV174" s="23"/>
      <c r="AW174" s="23"/>
      <c r="AX174" s="23"/>
    </row>
    <row r="175" spans="1:50" s="49" customFormat="1" x14ac:dyDescent="0.2">
      <c r="A175" s="47"/>
      <c r="B175" s="47"/>
      <c r="C175" s="47"/>
      <c r="D175" s="47"/>
      <c r="E175" s="47"/>
      <c r="F175" s="47"/>
      <c r="G175" s="47"/>
      <c r="H175" s="48"/>
      <c r="I175" s="60"/>
      <c r="J175" s="60"/>
      <c r="K175" s="67"/>
      <c r="L175" s="67"/>
      <c r="M175" s="43"/>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3"/>
      <c r="AQ175" s="23"/>
      <c r="AR175" s="23"/>
      <c r="AS175" s="23"/>
      <c r="AT175" s="23"/>
      <c r="AU175" s="23"/>
      <c r="AV175" s="23"/>
      <c r="AW175" s="23"/>
      <c r="AX175" s="23"/>
    </row>
    <row r="176" spans="1:50" s="49" customFormat="1" x14ac:dyDescent="0.2">
      <c r="A176" s="47"/>
      <c r="B176" s="47"/>
      <c r="C176" s="47"/>
      <c r="D176" s="47"/>
      <c r="E176" s="47"/>
      <c r="F176" s="47"/>
      <c r="G176" s="47"/>
      <c r="H176" s="48"/>
      <c r="I176" s="60"/>
      <c r="J176" s="60"/>
      <c r="K176" s="67"/>
      <c r="L176" s="67"/>
      <c r="M176" s="43"/>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3"/>
      <c r="AQ176" s="23"/>
      <c r="AR176" s="23"/>
      <c r="AS176" s="23"/>
      <c r="AT176" s="23"/>
      <c r="AU176" s="23"/>
      <c r="AV176" s="23"/>
      <c r="AW176" s="23"/>
      <c r="AX176" s="23"/>
    </row>
    <row r="177" spans="1:50" s="49" customFormat="1" x14ac:dyDescent="0.2">
      <c r="A177" s="47"/>
      <c r="B177" s="47"/>
      <c r="C177" s="47"/>
      <c r="D177" s="47"/>
      <c r="E177" s="47"/>
      <c r="F177" s="47"/>
      <c r="G177" s="47"/>
      <c r="H177" s="48"/>
      <c r="I177" s="60"/>
      <c r="J177" s="60"/>
      <c r="K177" s="67"/>
      <c r="L177" s="67"/>
      <c r="M177" s="43"/>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3"/>
      <c r="AQ177" s="23"/>
      <c r="AR177" s="23"/>
      <c r="AS177" s="23"/>
      <c r="AT177" s="23"/>
      <c r="AU177" s="23"/>
      <c r="AV177" s="23"/>
      <c r="AW177" s="23"/>
      <c r="AX177" s="23"/>
    </row>
    <row r="178" spans="1:50" s="49" customFormat="1" x14ac:dyDescent="0.2">
      <c r="A178" s="47"/>
      <c r="B178" s="47"/>
      <c r="C178" s="47"/>
      <c r="D178" s="47"/>
      <c r="E178" s="47"/>
      <c r="F178" s="47"/>
      <c r="G178" s="47"/>
      <c r="H178" s="48"/>
      <c r="I178" s="60"/>
      <c r="J178" s="60"/>
      <c r="K178" s="67"/>
      <c r="L178" s="67"/>
      <c r="M178" s="43"/>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3"/>
      <c r="AQ178" s="23"/>
      <c r="AR178" s="23"/>
      <c r="AS178" s="23"/>
      <c r="AT178" s="23"/>
      <c r="AU178" s="23"/>
      <c r="AV178" s="23"/>
      <c r="AW178" s="23"/>
      <c r="AX178" s="23"/>
    </row>
    <row r="179" spans="1:50" s="49" customFormat="1" x14ac:dyDescent="0.2">
      <c r="A179" s="47"/>
      <c r="B179" s="47"/>
      <c r="C179" s="47"/>
      <c r="D179" s="47"/>
      <c r="E179" s="47"/>
      <c r="F179" s="47"/>
      <c r="G179" s="47"/>
      <c r="H179" s="48"/>
      <c r="I179" s="60"/>
      <c r="J179" s="60"/>
      <c r="K179" s="67"/>
      <c r="L179" s="67"/>
      <c r="M179" s="43"/>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3"/>
      <c r="AQ179" s="23"/>
      <c r="AR179" s="23"/>
      <c r="AS179" s="23"/>
      <c r="AT179" s="23"/>
      <c r="AU179" s="23"/>
      <c r="AV179" s="23"/>
      <c r="AW179" s="23"/>
      <c r="AX179" s="23"/>
    </row>
    <row r="180" spans="1:50" s="49" customFormat="1" x14ac:dyDescent="0.2">
      <c r="A180" s="47"/>
      <c r="B180" s="47"/>
      <c r="C180" s="47"/>
      <c r="D180" s="47"/>
      <c r="E180" s="47"/>
      <c r="F180" s="47"/>
      <c r="G180" s="47"/>
      <c r="H180" s="48"/>
      <c r="I180" s="60"/>
      <c r="J180" s="60"/>
      <c r="K180" s="67"/>
      <c r="L180" s="67"/>
      <c r="M180" s="43"/>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3"/>
      <c r="AQ180" s="23"/>
      <c r="AR180" s="23"/>
      <c r="AS180" s="23"/>
      <c r="AT180" s="23"/>
      <c r="AU180" s="23"/>
      <c r="AV180" s="23"/>
      <c r="AW180" s="23"/>
      <c r="AX180" s="23"/>
    </row>
    <row r="181" spans="1:50" s="49" customFormat="1" x14ac:dyDescent="0.2">
      <c r="A181" s="47"/>
      <c r="B181" s="47"/>
      <c r="C181" s="47"/>
      <c r="D181" s="47"/>
      <c r="E181" s="47"/>
      <c r="F181" s="47"/>
      <c r="G181" s="47"/>
      <c r="H181" s="47"/>
      <c r="I181" s="60"/>
      <c r="J181" s="60"/>
      <c r="K181" s="67"/>
      <c r="L181" s="67"/>
      <c r="M181" s="43"/>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3"/>
      <c r="AQ181" s="23"/>
      <c r="AR181" s="23"/>
      <c r="AS181" s="23"/>
      <c r="AT181" s="23"/>
      <c r="AU181" s="23"/>
      <c r="AV181" s="23"/>
      <c r="AW181" s="23"/>
      <c r="AX181" s="23"/>
    </row>
    <row r="182" spans="1:50" s="49" customFormat="1" x14ac:dyDescent="0.2">
      <c r="A182" s="47"/>
      <c r="B182" s="47"/>
      <c r="C182" s="47"/>
      <c r="D182" s="47"/>
      <c r="E182" s="47"/>
      <c r="F182" s="47"/>
      <c r="G182" s="47"/>
      <c r="H182" s="47"/>
      <c r="I182" s="60"/>
      <c r="J182" s="43"/>
      <c r="K182" s="67"/>
      <c r="L182" s="67"/>
      <c r="M182" s="43"/>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23"/>
      <c r="AQ182" s="23"/>
      <c r="AR182" s="23"/>
      <c r="AS182" s="23"/>
      <c r="AT182" s="23"/>
      <c r="AU182" s="23"/>
      <c r="AV182" s="23"/>
      <c r="AW182" s="23"/>
      <c r="AX182" s="23"/>
    </row>
    <row r="183" spans="1:50" s="49" customFormat="1" x14ac:dyDescent="0.2">
      <c r="A183" s="47"/>
      <c r="B183" s="47"/>
      <c r="C183" s="47"/>
      <c r="D183" s="47"/>
      <c r="E183" s="47"/>
      <c r="F183" s="47"/>
      <c r="G183" s="47"/>
      <c r="H183" s="47"/>
      <c r="I183" s="60"/>
      <c r="J183" s="43"/>
      <c r="K183" s="67"/>
      <c r="L183" s="67"/>
      <c r="M183" s="43"/>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23"/>
      <c r="AQ183" s="23"/>
      <c r="AR183" s="23"/>
      <c r="AS183" s="23"/>
      <c r="AT183" s="23"/>
      <c r="AU183" s="23"/>
      <c r="AV183" s="23"/>
      <c r="AW183" s="23"/>
      <c r="AX183" s="23"/>
    </row>
    <row r="184" spans="1:50" s="49" customFormat="1" x14ac:dyDescent="0.2">
      <c r="A184" s="47"/>
      <c r="B184" s="47"/>
      <c r="C184" s="47"/>
      <c r="D184" s="47"/>
      <c r="E184" s="47"/>
      <c r="F184" s="47"/>
      <c r="G184" s="47"/>
      <c r="H184" s="47"/>
      <c r="I184" s="60"/>
      <c r="J184" s="43"/>
      <c r="K184" s="67"/>
      <c r="L184" s="67"/>
      <c r="M184" s="43"/>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23"/>
      <c r="AQ184" s="23"/>
      <c r="AR184" s="23"/>
      <c r="AS184" s="23"/>
      <c r="AT184" s="23"/>
      <c r="AU184" s="23"/>
      <c r="AV184" s="23"/>
      <c r="AW184" s="23"/>
      <c r="AX184" s="23"/>
    </row>
    <row r="185" spans="1:50" s="49" customFormat="1" x14ac:dyDescent="0.2">
      <c r="A185" s="47"/>
      <c r="B185" s="47"/>
      <c r="C185" s="47"/>
      <c r="D185" s="47"/>
      <c r="E185" s="47"/>
      <c r="F185" s="47"/>
      <c r="G185" s="47"/>
      <c r="H185" s="47"/>
      <c r="I185" s="60"/>
      <c r="J185" s="43"/>
      <c r="K185" s="67"/>
      <c r="L185" s="67"/>
      <c r="M185" s="43"/>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23"/>
      <c r="AQ185" s="23"/>
      <c r="AR185" s="23"/>
      <c r="AS185" s="23"/>
      <c r="AT185" s="23"/>
      <c r="AU185" s="23"/>
      <c r="AV185" s="23"/>
      <c r="AW185" s="23"/>
      <c r="AX185" s="23"/>
    </row>
    <row r="186" spans="1:50" s="49" customFormat="1" x14ac:dyDescent="0.2">
      <c r="A186" s="47"/>
      <c r="B186" s="47"/>
      <c r="C186" s="47"/>
      <c r="D186" s="47"/>
      <c r="E186" s="47"/>
      <c r="F186" s="47"/>
      <c r="G186" s="47"/>
      <c r="H186" s="47"/>
      <c r="I186" s="60"/>
      <c r="J186" s="43"/>
      <c r="K186" s="67"/>
      <c r="L186" s="67"/>
      <c r="M186" s="43"/>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23"/>
      <c r="AQ186" s="23"/>
      <c r="AR186" s="23"/>
      <c r="AS186" s="23"/>
      <c r="AT186" s="23"/>
      <c r="AU186" s="23"/>
      <c r="AV186" s="23"/>
      <c r="AW186" s="23"/>
      <c r="AX186" s="23"/>
    </row>
    <row r="187" spans="1:50" s="49" customFormat="1" x14ac:dyDescent="0.2">
      <c r="A187" s="47"/>
      <c r="B187" s="47"/>
      <c r="C187" s="47"/>
      <c r="D187" s="47"/>
      <c r="E187" s="47"/>
      <c r="F187" s="47"/>
      <c r="G187" s="47"/>
      <c r="H187" s="47"/>
      <c r="I187" s="60"/>
      <c r="J187" s="43"/>
      <c r="K187" s="67"/>
      <c r="L187" s="67"/>
      <c r="M187" s="43"/>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23"/>
      <c r="AQ187" s="23"/>
      <c r="AR187" s="23"/>
      <c r="AS187" s="23"/>
      <c r="AT187" s="23"/>
      <c r="AU187" s="23"/>
      <c r="AV187" s="23"/>
      <c r="AW187" s="23"/>
      <c r="AX187" s="23"/>
    </row>
    <row r="188" spans="1:50" s="49" customFormat="1" x14ac:dyDescent="0.2">
      <c r="A188" s="47"/>
      <c r="B188" s="47"/>
      <c r="C188" s="47"/>
      <c r="D188" s="47"/>
      <c r="E188" s="47"/>
      <c r="F188" s="47"/>
      <c r="G188" s="47"/>
      <c r="H188" s="47"/>
      <c r="I188" s="60"/>
      <c r="J188" s="43"/>
      <c r="K188" s="67"/>
      <c r="L188" s="67"/>
      <c r="M188" s="43"/>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23"/>
      <c r="AQ188" s="23"/>
      <c r="AR188" s="23"/>
      <c r="AS188" s="23"/>
      <c r="AT188" s="23"/>
      <c r="AU188" s="23"/>
      <c r="AV188" s="23"/>
      <c r="AW188" s="23"/>
      <c r="AX188" s="23"/>
    </row>
    <row r="189" spans="1:50" s="49" customFormat="1" x14ac:dyDescent="0.2">
      <c r="A189" s="47"/>
      <c r="B189" s="47"/>
      <c r="C189" s="47"/>
      <c r="D189" s="47"/>
      <c r="E189" s="47"/>
      <c r="F189" s="47"/>
      <c r="G189" s="47"/>
      <c r="H189" s="47"/>
      <c r="I189" s="60"/>
      <c r="J189" s="43"/>
      <c r="K189" s="67"/>
      <c r="L189" s="67"/>
      <c r="M189" s="43"/>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3"/>
      <c r="AP189" s="23"/>
      <c r="AQ189" s="23"/>
      <c r="AR189" s="23"/>
      <c r="AS189" s="23"/>
      <c r="AT189" s="23"/>
      <c r="AU189" s="23"/>
      <c r="AV189" s="23"/>
      <c r="AW189" s="23"/>
      <c r="AX189" s="23"/>
    </row>
    <row r="190" spans="1:50" s="49" customFormat="1" x14ac:dyDescent="0.2">
      <c r="A190" s="47"/>
      <c r="B190" s="47"/>
      <c r="C190" s="47"/>
      <c r="D190" s="47"/>
      <c r="E190" s="47"/>
      <c r="F190" s="47"/>
      <c r="G190" s="47"/>
      <c r="H190" s="47"/>
      <c r="I190" s="60"/>
      <c r="J190" s="43"/>
      <c r="K190" s="67"/>
      <c r="L190" s="67"/>
      <c r="M190" s="43"/>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3"/>
      <c r="AP190" s="23"/>
      <c r="AQ190" s="23"/>
      <c r="AR190" s="23"/>
      <c r="AS190" s="23"/>
      <c r="AT190" s="23"/>
      <c r="AU190" s="23"/>
      <c r="AV190" s="23"/>
      <c r="AW190" s="23"/>
      <c r="AX190" s="23"/>
    </row>
    <row r="191" spans="1:50" s="49" customFormat="1" x14ac:dyDescent="0.2">
      <c r="A191" s="47"/>
      <c r="B191" s="47"/>
      <c r="C191" s="47"/>
      <c r="D191" s="47"/>
      <c r="E191" s="47"/>
      <c r="F191" s="47"/>
      <c r="G191" s="47"/>
      <c r="H191" s="47"/>
      <c r="I191" s="60"/>
      <c r="J191" s="43"/>
      <c r="K191" s="67"/>
      <c r="L191" s="67"/>
      <c r="M191" s="43"/>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3"/>
      <c r="AP191" s="23"/>
      <c r="AQ191" s="23"/>
      <c r="AR191" s="23"/>
      <c r="AS191" s="23"/>
      <c r="AT191" s="23"/>
      <c r="AU191" s="23"/>
      <c r="AV191" s="23"/>
      <c r="AW191" s="23"/>
      <c r="AX191" s="23"/>
    </row>
    <row r="192" spans="1:50" s="49" customFormat="1" x14ac:dyDescent="0.2">
      <c r="A192" s="47"/>
      <c r="B192" s="47"/>
      <c r="C192" s="47"/>
      <c r="D192" s="47"/>
      <c r="E192" s="47"/>
      <c r="F192" s="47"/>
      <c r="G192" s="47"/>
      <c r="H192" s="47"/>
      <c r="I192" s="60"/>
      <c r="J192" s="43"/>
      <c r="K192" s="67"/>
      <c r="L192" s="67"/>
      <c r="M192" s="43"/>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3"/>
      <c r="AP192" s="23"/>
      <c r="AQ192" s="23"/>
      <c r="AR192" s="23"/>
      <c r="AS192" s="23"/>
      <c r="AT192" s="23"/>
      <c r="AU192" s="23"/>
      <c r="AV192" s="23"/>
      <c r="AW192" s="23"/>
      <c r="AX192" s="23"/>
    </row>
    <row r="193" spans="1:50" s="49" customFormat="1" x14ac:dyDescent="0.2">
      <c r="A193" s="47"/>
      <c r="B193" s="47"/>
      <c r="C193" s="47"/>
      <c r="D193" s="47"/>
      <c r="E193" s="47"/>
      <c r="F193" s="47"/>
      <c r="G193" s="47"/>
      <c r="H193" s="47"/>
      <c r="I193" s="60"/>
      <c r="J193" s="43"/>
      <c r="K193" s="67"/>
      <c r="L193" s="67"/>
      <c r="M193" s="43"/>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3"/>
      <c r="AP193" s="23"/>
      <c r="AQ193" s="23"/>
      <c r="AR193" s="23"/>
      <c r="AS193" s="23"/>
      <c r="AT193" s="23"/>
      <c r="AU193" s="23"/>
      <c r="AV193" s="23"/>
      <c r="AW193" s="23"/>
      <c r="AX193" s="23"/>
    </row>
    <row r="194" spans="1:50" s="49" customFormat="1" x14ac:dyDescent="0.2">
      <c r="A194" s="47"/>
      <c r="B194" s="47"/>
      <c r="C194" s="47"/>
      <c r="D194" s="47"/>
      <c r="E194" s="47"/>
      <c r="F194" s="47"/>
      <c r="G194" s="47"/>
      <c r="H194" s="47"/>
      <c r="I194" s="60"/>
      <c r="J194" s="43"/>
      <c r="K194" s="67"/>
      <c r="L194" s="67"/>
      <c r="M194" s="43"/>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3"/>
      <c r="AP194" s="23"/>
      <c r="AQ194" s="23"/>
      <c r="AR194" s="23"/>
      <c r="AS194" s="23"/>
      <c r="AT194" s="23"/>
      <c r="AU194" s="23"/>
      <c r="AV194" s="23"/>
      <c r="AW194" s="23"/>
      <c r="AX194" s="23"/>
    </row>
    <row r="195" spans="1:50" s="49" customFormat="1" x14ac:dyDescent="0.2">
      <c r="A195" s="47"/>
      <c r="B195" s="47"/>
      <c r="C195" s="47"/>
      <c r="D195" s="47"/>
      <c r="E195" s="47"/>
      <c r="F195" s="47"/>
      <c r="G195" s="47"/>
      <c r="H195" s="47"/>
      <c r="I195" s="60"/>
      <c r="J195" s="43"/>
      <c r="K195" s="67"/>
      <c r="L195" s="67"/>
      <c r="M195" s="43"/>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3"/>
      <c r="AP195" s="23"/>
      <c r="AQ195" s="23"/>
      <c r="AR195" s="23"/>
      <c r="AS195" s="23"/>
      <c r="AT195" s="23"/>
      <c r="AU195" s="23"/>
      <c r="AV195" s="23"/>
      <c r="AW195" s="23"/>
      <c r="AX195" s="23"/>
    </row>
    <row r="196" spans="1:50" s="49" customFormat="1" x14ac:dyDescent="0.2">
      <c r="A196" s="47"/>
      <c r="B196" s="47"/>
      <c r="C196" s="47"/>
      <c r="D196" s="47"/>
      <c r="E196" s="47"/>
      <c r="F196" s="47"/>
      <c r="G196" s="47"/>
      <c r="H196" s="47"/>
      <c r="I196" s="60"/>
      <c r="J196" s="43"/>
      <c r="K196" s="67"/>
      <c r="L196" s="67"/>
      <c r="M196" s="43"/>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3"/>
      <c r="AP196" s="23"/>
      <c r="AQ196" s="23"/>
      <c r="AR196" s="23"/>
      <c r="AS196" s="23"/>
      <c r="AT196" s="23"/>
      <c r="AU196" s="23"/>
      <c r="AV196" s="23"/>
      <c r="AW196" s="23"/>
      <c r="AX196" s="23"/>
    </row>
    <row r="197" spans="1:50" s="49" customFormat="1" x14ac:dyDescent="0.2">
      <c r="A197" s="47"/>
      <c r="B197" s="47"/>
      <c r="C197" s="47"/>
      <c r="D197" s="47"/>
      <c r="E197" s="47"/>
      <c r="F197" s="47"/>
      <c r="G197" s="47"/>
      <c r="H197" s="47"/>
      <c r="I197" s="60"/>
      <c r="J197" s="43"/>
      <c r="K197" s="67"/>
      <c r="L197" s="67"/>
      <c r="M197" s="43"/>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3"/>
      <c r="AP197" s="23"/>
      <c r="AQ197" s="23"/>
      <c r="AR197" s="23"/>
      <c r="AS197" s="23"/>
      <c r="AT197" s="23"/>
      <c r="AU197" s="23"/>
      <c r="AV197" s="23"/>
      <c r="AW197" s="23"/>
      <c r="AX197" s="23"/>
    </row>
    <row r="198" spans="1:50" s="49" customFormat="1" x14ac:dyDescent="0.2">
      <c r="A198" s="47"/>
      <c r="B198" s="47"/>
      <c r="C198" s="47"/>
      <c r="D198" s="47"/>
      <c r="E198" s="47"/>
      <c r="F198" s="47"/>
      <c r="G198" s="47"/>
      <c r="H198" s="47"/>
      <c r="I198" s="60"/>
      <c r="J198" s="43"/>
      <c r="K198" s="67"/>
      <c r="L198" s="67"/>
      <c r="M198" s="43"/>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3"/>
      <c r="AP198" s="23"/>
      <c r="AQ198" s="23"/>
      <c r="AR198" s="23"/>
      <c r="AS198" s="23"/>
      <c r="AT198" s="23"/>
      <c r="AU198" s="23"/>
      <c r="AV198" s="23"/>
      <c r="AW198" s="23"/>
      <c r="AX198" s="23"/>
    </row>
    <row r="199" spans="1:50" s="49" customFormat="1" x14ac:dyDescent="0.2">
      <c r="A199" s="47"/>
      <c r="B199" s="47"/>
      <c r="C199" s="47"/>
      <c r="D199" s="47"/>
      <c r="E199" s="47"/>
      <c r="F199" s="47"/>
      <c r="G199" s="47"/>
      <c r="H199" s="47"/>
      <c r="I199" s="60"/>
      <c r="J199" s="43"/>
      <c r="K199" s="67"/>
      <c r="L199" s="67"/>
      <c r="M199" s="43"/>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3"/>
      <c r="AP199" s="23"/>
      <c r="AQ199" s="23"/>
      <c r="AR199" s="23"/>
      <c r="AS199" s="23"/>
      <c r="AT199" s="23"/>
      <c r="AU199" s="23"/>
      <c r="AV199" s="23"/>
      <c r="AW199" s="23"/>
      <c r="AX199" s="23"/>
    </row>
    <row r="200" spans="1:50" s="49" customFormat="1" x14ac:dyDescent="0.2">
      <c r="A200" s="47"/>
      <c r="B200" s="47"/>
      <c r="C200" s="47"/>
      <c r="D200" s="47"/>
      <c r="E200" s="47"/>
      <c r="F200" s="47"/>
      <c r="G200" s="47"/>
      <c r="H200" s="47"/>
      <c r="I200" s="60"/>
      <c r="J200" s="43"/>
      <c r="K200" s="67"/>
      <c r="L200" s="67"/>
      <c r="M200" s="43"/>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3"/>
      <c r="AP200" s="23"/>
      <c r="AQ200" s="23"/>
      <c r="AR200" s="23"/>
      <c r="AS200" s="23"/>
      <c r="AT200" s="23"/>
      <c r="AU200" s="23"/>
      <c r="AV200" s="23"/>
      <c r="AW200" s="23"/>
      <c r="AX200" s="23"/>
    </row>
    <row r="201" spans="1:50" s="49" customFormat="1" x14ac:dyDescent="0.2">
      <c r="A201" s="47"/>
      <c r="B201" s="47"/>
      <c r="C201" s="47"/>
      <c r="D201" s="47"/>
      <c r="E201" s="47"/>
      <c r="F201" s="47"/>
      <c r="G201" s="47"/>
      <c r="H201" s="47"/>
      <c r="I201" s="60"/>
      <c r="J201" s="43"/>
      <c r="K201" s="67"/>
      <c r="L201" s="67"/>
      <c r="M201" s="43"/>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3"/>
      <c r="AP201" s="23"/>
      <c r="AQ201" s="23"/>
      <c r="AR201" s="23"/>
      <c r="AS201" s="23"/>
      <c r="AT201" s="23"/>
      <c r="AU201" s="23"/>
      <c r="AV201" s="23"/>
      <c r="AW201" s="23"/>
      <c r="AX201" s="23"/>
    </row>
    <row r="202" spans="1:50" s="49" customFormat="1" x14ac:dyDescent="0.2">
      <c r="A202" s="47"/>
      <c r="B202" s="47"/>
      <c r="C202" s="47"/>
      <c r="D202" s="47"/>
      <c r="E202" s="47"/>
      <c r="F202" s="47"/>
      <c r="G202" s="47"/>
      <c r="H202" s="47"/>
      <c r="I202" s="60"/>
      <c r="J202" s="43"/>
      <c r="K202" s="67"/>
      <c r="L202" s="67"/>
      <c r="M202" s="43"/>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3"/>
      <c r="AP202" s="23"/>
      <c r="AQ202" s="23"/>
      <c r="AR202" s="23"/>
      <c r="AS202" s="23"/>
      <c r="AT202" s="23"/>
      <c r="AU202" s="23"/>
      <c r="AV202" s="23"/>
      <c r="AW202" s="23"/>
      <c r="AX202" s="23"/>
    </row>
    <row r="203" spans="1:50" s="49" customFormat="1" x14ac:dyDescent="0.2">
      <c r="A203" s="47"/>
      <c r="B203" s="47"/>
      <c r="C203" s="47"/>
      <c r="D203" s="47"/>
      <c r="E203" s="47"/>
      <c r="F203" s="47"/>
      <c r="G203" s="47"/>
      <c r="H203" s="47"/>
      <c r="I203" s="60"/>
      <c r="J203" s="43"/>
      <c r="K203" s="67"/>
      <c r="L203" s="67"/>
      <c r="M203" s="43"/>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3"/>
      <c r="AP203" s="23"/>
      <c r="AQ203" s="23"/>
      <c r="AR203" s="23"/>
      <c r="AS203" s="23"/>
      <c r="AT203" s="23"/>
      <c r="AU203" s="23"/>
      <c r="AV203" s="23"/>
      <c r="AW203" s="23"/>
      <c r="AX203" s="23"/>
    </row>
    <row r="204" spans="1:50" s="49" customFormat="1" x14ac:dyDescent="0.2">
      <c r="A204" s="47"/>
      <c r="B204" s="47"/>
      <c r="C204" s="47"/>
      <c r="D204" s="47"/>
      <c r="E204" s="47"/>
      <c r="F204" s="47"/>
      <c r="G204" s="47"/>
      <c r="H204" s="47"/>
      <c r="I204" s="60"/>
      <c r="J204" s="43"/>
      <c r="K204" s="67"/>
      <c r="L204" s="67"/>
      <c r="M204" s="43"/>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3"/>
      <c r="AP204" s="23"/>
      <c r="AQ204" s="23"/>
      <c r="AR204" s="23"/>
      <c r="AS204" s="23"/>
      <c r="AT204" s="23"/>
      <c r="AU204" s="23"/>
      <c r="AV204" s="23"/>
      <c r="AW204" s="23"/>
      <c r="AX204" s="23"/>
    </row>
    <row r="205" spans="1:50" s="49" customFormat="1" x14ac:dyDescent="0.2">
      <c r="A205" s="47"/>
      <c r="B205" s="47"/>
      <c r="C205" s="47"/>
      <c r="D205" s="47"/>
      <c r="E205" s="47"/>
      <c r="F205" s="47"/>
      <c r="G205" s="47"/>
      <c r="H205" s="47"/>
      <c r="I205" s="60"/>
      <c r="J205" s="43"/>
      <c r="K205" s="67"/>
      <c r="L205" s="67"/>
      <c r="M205" s="43"/>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3"/>
      <c r="AP205" s="23"/>
      <c r="AQ205" s="23"/>
      <c r="AR205" s="23"/>
      <c r="AS205" s="23"/>
      <c r="AT205" s="23"/>
      <c r="AU205" s="23"/>
      <c r="AV205" s="23"/>
      <c r="AW205" s="23"/>
      <c r="AX205" s="23"/>
    </row>
    <row r="206" spans="1:50" s="49" customFormat="1" x14ac:dyDescent="0.2">
      <c r="A206" s="47"/>
      <c r="B206" s="47"/>
      <c r="C206" s="47"/>
      <c r="D206" s="47"/>
      <c r="E206" s="47"/>
      <c r="F206" s="47"/>
      <c r="G206" s="47"/>
      <c r="H206" s="47"/>
      <c r="I206" s="60"/>
      <c r="J206" s="43"/>
      <c r="K206" s="67"/>
      <c r="L206" s="67"/>
      <c r="M206" s="43"/>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3"/>
      <c r="AP206" s="23"/>
      <c r="AQ206" s="23"/>
      <c r="AR206" s="23"/>
      <c r="AS206" s="23"/>
      <c r="AT206" s="23"/>
      <c r="AU206" s="23"/>
      <c r="AV206" s="23"/>
      <c r="AW206" s="23"/>
      <c r="AX206" s="23"/>
    </row>
    <row r="207" spans="1:50" s="49" customFormat="1" x14ac:dyDescent="0.2">
      <c r="A207" s="47"/>
      <c r="B207" s="47"/>
      <c r="C207" s="47"/>
      <c r="D207" s="47"/>
      <c r="E207" s="47"/>
      <c r="F207" s="47"/>
      <c r="G207" s="47"/>
      <c r="H207" s="47"/>
      <c r="I207" s="60"/>
      <c r="J207" s="43"/>
      <c r="K207" s="67"/>
      <c r="L207" s="67"/>
      <c r="M207" s="43"/>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3"/>
      <c r="AP207" s="23"/>
      <c r="AQ207" s="23"/>
      <c r="AR207" s="23"/>
      <c r="AS207" s="23"/>
      <c r="AT207" s="23"/>
      <c r="AU207" s="23"/>
      <c r="AV207" s="23"/>
      <c r="AW207" s="23"/>
      <c r="AX207" s="23"/>
    </row>
    <row r="208" spans="1:50" s="49" customFormat="1" x14ac:dyDescent="0.2">
      <c r="A208" s="47"/>
      <c r="B208" s="47"/>
      <c r="C208" s="47"/>
      <c r="D208" s="47"/>
      <c r="E208" s="47"/>
      <c r="F208" s="47"/>
      <c r="G208" s="47"/>
      <c r="H208" s="47"/>
      <c r="I208" s="60"/>
      <c r="J208" s="43"/>
      <c r="K208" s="67"/>
      <c r="L208" s="67"/>
      <c r="M208" s="43"/>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3"/>
      <c r="AP208" s="23"/>
      <c r="AQ208" s="23"/>
      <c r="AR208" s="23"/>
      <c r="AS208" s="23"/>
      <c r="AT208" s="23"/>
      <c r="AU208" s="23"/>
      <c r="AV208" s="23"/>
      <c r="AW208" s="23"/>
      <c r="AX208" s="23"/>
    </row>
    <row r="209" spans="1:50" s="49" customFormat="1" x14ac:dyDescent="0.2">
      <c r="A209" s="47"/>
      <c r="B209" s="47"/>
      <c r="C209" s="47"/>
      <c r="D209" s="47"/>
      <c r="E209" s="47"/>
      <c r="F209" s="47"/>
      <c r="G209" s="47"/>
      <c r="H209" s="47"/>
      <c r="I209" s="60"/>
      <c r="J209" s="43"/>
      <c r="K209" s="67"/>
      <c r="L209" s="67"/>
      <c r="M209" s="43"/>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3"/>
      <c r="AP209" s="23"/>
      <c r="AQ209" s="23"/>
      <c r="AR209" s="23"/>
      <c r="AS209" s="23"/>
      <c r="AT209" s="23"/>
      <c r="AU209" s="23"/>
      <c r="AV209" s="23"/>
      <c r="AW209" s="23"/>
      <c r="AX209" s="23"/>
    </row>
    <row r="210" spans="1:50" s="49" customFormat="1" x14ac:dyDescent="0.2">
      <c r="A210" s="47"/>
      <c r="B210" s="47"/>
      <c r="C210" s="47"/>
      <c r="D210" s="47"/>
      <c r="E210" s="47"/>
      <c r="F210" s="47"/>
      <c r="G210" s="47"/>
      <c r="H210" s="47"/>
      <c r="I210" s="60"/>
      <c r="J210" s="43"/>
      <c r="K210" s="67"/>
      <c r="L210" s="67"/>
      <c r="M210" s="43"/>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3"/>
      <c r="AP210" s="23"/>
      <c r="AQ210" s="23"/>
      <c r="AR210" s="23"/>
      <c r="AS210" s="23"/>
      <c r="AT210" s="23"/>
      <c r="AU210" s="23"/>
      <c r="AV210" s="23"/>
      <c r="AW210" s="23"/>
      <c r="AX210" s="23"/>
    </row>
    <row r="211" spans="1:50" s="49" customFormat="1" x14ac:dyDescent="0.2">
      <c r="A211" s="47"/>
      <c r="B211" s="47"/>
      <c r="C211" s="47"/>
      <c r="D211" s="47"/>
      <c r="E211" s="47"/>
      <c r="F211" s="47"/>
      <c r="G211" s="47"/>
      <c r="H211" s="47"/>
      <c r="I211" s="60"/>
      <c r="J211" s="43"/>
      <c r="K211" s="67"/>
      <c r="L211" s="67"/>
      <c r="M211" s="43"/>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3"/>
      <c r="AP211" s="23"/>
      <c r="AQ211" s="23"/>
      <c r="AR211" s="23"/>
      <c r="AS211" s="23"/>
      <c r="AT211" s="23"/>
      <c r="AU211" s="23"/>
      <c r="AV211" s="23"/>
      <c r="AW211" s="23"/>
      <c r="AX211" s="23"/>
    </row>
    <row r="212" spans="1:50" s="49" customFormat="1" x14ac:dyDescent="0.2">
      <c r="A212" s="47"/>
      <c r="B212" s="47"/>
      <c r="C212" s="47"/>
      <c r="D212" s="47"/>
      <c r="E212" s="47"/>
      <c r="F212" s="47"/>
      <c r="G212" s="47"/>
      <c r="H212" s="47"/>
      <c r="I212" s="60"/>
      <c r="J212" s="43"/>
      <c r="K212" s="67"/>
      <c r="L212" s="67"/>
      <c r="M212" s="43"/>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3"/>
      <c r="AP212" s="23"/>
      <c r="AQ212" s="23"/>
      <c r="AR212" s="23"/>
      <c r="AS212" s="23"/>
      <c r="AT212" s="23"/>
      <c r="AU212" s="23"/>
      <c r="AV212" s="23"/>
      <c r="AW212" s="23"/>
      <c r="AX212" s="23"/>
    </row>
    <row r="213" spans="1:50" s="49" customFormat="1" x14ac:dyDescent="0.2">
      <c r="A213" s="47"/>
      <c r="B213" s="47"/>
      <c r="C213" s="47"/>
      <c r="D213" s="47"/>
      <c r="E213" s="47"/>
      <c r="F213" s="47"/>
      <c r="G213" s="47"/>
      <c r="H213" s="47"/>
      <c r="I213" s="60"/>
      <c r="J213" s="43"/>
      <c r="K213" s="67"/>
      <c r="L213" s="67"/>
      <c r="M213" s="43"/>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3"/>
      <c r="AP213" s="23"/>
      <c r="AQ213" s="23"/>
      <c r="AR213" s="23"/>
      <c r="AS213" s="23"/>
      <c r="AT213" s="23"/>
      <c r="AU213" s="23"/>
      <c r="AV213" s="23"/>
      <c r="AW213" s="23"/>
      <c r="AX213" s="23"/>
    </row>
    <row r="214" spans="1:50" s="49" customFormat="1" x14ac:dyDescent="0.2">
      <c r="A214" s="47"/>
      <c r="B214" s="47"/>
      <c r="C214" s="47"/>
      <c r="D214" s="47"/>
      <c r="E214" s="47"/>
      <c r="F214" s="47"/>
      <c r="G214" s="47"/>
      <c r="H214" s="47"/>
      <c r="I214" s="60"/>
      <c r="J214" s="43"/>
      <c r="K214" s="67"/>
      <c r="L214" s="67"/>
      <c r="M214" s="43"/>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3"/>
      <c r="AP214" s="23"/>
      <c r="AQ214" s="23"/>
      <c r="AR214" s="23"/>
      <c r="AS214" s="23"/>
      <c r="AT214" s="23"/>
      <c r="AU214" s="23"/>
      <c r="AV214" s="23"/>
      <c r="AW214" s="23"/>
      <c r="AX214" s="23"/>
    </row>
    <row r="215" spans="1:50" s="49" customFormat="1" x14ac:dyDescent="0.2">
      <c r="A215" s="47"/>
      <c r="B215" s="47"/>
      <c r="C215" s="47"/>
      <c r="D215" s="47"/>
      <c r="E215" s="47"/>
      <c r="F215" s="47"/>
      <c r="G215" s="47"/>
      <c r="H215" s="47"/>
      <c r="I215" s="60"/>
      <c r="J215" s="43"/>
      <c r="K215" s="67"/>
      <c r="L215" s="67"/>
      <c r="M215" s="43"/>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3"/>
      <c r="AP215" s="23"/>
      <c r="AQ215" s="23"/>
      <c r="AR215" s="23"/>
      <c r="AS215" s="23"/>
      <c r="AT215" s="23"/>
      <c r="AU215" s="23"/>
      <c r="AV215" s="23"/>
      <c r="AW215" s="23"/>
      <c r="AX215" s="23"/>
    </row>
    <row r="216" spans="1:50" s="49" customFormat="1" x14ac:dyDescent="0.2">
      <c r="A216" s="47"/>
      <c r="B216" s="47"/>
      <c r="C216" s="47"/>
      <c r="D216" s="47"/>
      <c r="E216" s="47"/>
      <c r="F216" s="47"/>
      <c r="G216" s="47"/>
      <c r="H216" s="47"/>
      <c r="I216" s="60"/>
      <c r="J216" s="43"/>
      <c r="K216" s="67"/>
      <c r="L216" s="67"/>
      <c r="M216" s="43"/>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3"/>
      <c r="AP216" s="23"/>
      <c r="AQ216" s="23"/>
      <c r="AR216" s="23"/>
      <c r="AS216" s="23"/>
      <c r="AT216" s="23"/>
      <c r="AU216" s="23"/>
      <c r="AV216" s="23"/>
      <c r="AW216" s="23"/>
      <c r="AX216" s="23"/>
    </row>
    <row r="217" spans="1:50" s="49" customFormat="1" x14ac:dyDescent="0.2">
      <c r="A217" s="47"/>
      <c r="B217" s="47"/>
      <c r="C217" s="47"/>
      <c r="D217" s="47"/>
      <c r="E217" s="47"/>
      <c r="F217" s="47"/>
      <c r="G217" s="47"/>
      <c r="H217" s="47"/>
      <c r="I217" s="60"/>
      <c r="J217" s="43"/>
      <c r="K217" s="67"/>
      <c r="L217" s="67"/>
      <c r="M217" s="43"/>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3"/>
      <c r="AP217" s="23"/>
      <c r="AQ217" s="23"/>
      <c r="AR217" s="23"/>
      <c r="AS217" s="23"/>
      <c r="AT217" s="23"/>
      <c r="AU217" s="23"/>
      <c r="AV217" s="23"/>
      <c r="AW217" s="23"/>
      <c r="AX217" s="23"/>
    </row>
    <row r="218" spans="1:50" s="49" customFormat="1" x14ac:dyDescent="0.2">
      <c r="A218" s="47"/>
      <c r="B218" s="47"/>
      <c r="C218" s="47"/>
      <c r="D218" s="47"/>
      <c r="E218" s="47"/>
      <c r="F218" s="47"/>
      <c r="G218" s="47"/>
      <c r="H218" s="47"/>
      <c r="I218" s="60"/>
      <c r="J218" s="43"/>
      <c r="K218" s="67"/>
      <c r="L218" s="67"/>
      <c r="M218" s="43"/>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3"/>
      <c r="AP218" s="23"/>
      <c r="AQ218" s="23"/>
      <c r="AR218" s="23"/>
      <c r="AS218" s="23"/>
      <c r="AT218" s="23"/>
      <c r="AU218" s="23"/>
      <c r="AV218" s="23"/>
      <c r="AW218" s="23"/>
      <c r="AX218" s="23"/>
    </row>
    <row r="219" spans="1:50" s="49" customFormat="1" x14ac:dyDescent="0.2">
      <c r="A219" s="47"/>
      <c r="B219" s="47"/>
      <c r="C219" s="47"/>
      <c r="D219" s="47"/>
      <c r="E219" s="47"/>
      <c r="F219" s="47"/>
      <c r="G219" s="47"/>
      <c r="H219" s="47"/>
      <c r="I219" s="60"/>
      <c r="J219" s="43"/>
      <c r="K219" s="67"/>
      <c r="L219" s="67"/>
      <c r="M219" s="43"/>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3"/>
      <c r="AP219" s="23"/>
      <c r="AQ219" s="23"/>
      <c r="AR219" s="23"/>
      <c r="AS219" s="23"/>
      <c r="AT219" s="23"/>
      <c r="AU219" s="23"/>
      <c r="AV219" s="23"/>
      <c r="AW219" s="23"/>
      <c r="AX219" s="23"/>
    </row>
    <row r="220" spans="1:50" s="49" customFormat="1" x14ac:dyDescent="0.2">
      <c r="A220" s="47"/>
      <c r="B220" s="47"/>
      <c r="C220" s="47"/>
      <c r="D220" s="47"/>
      <c r="E220" s="47"/>
      <c r="F220" s="47"/>
      <c r="G220" s="47"/>
      <c r="H220" s="47"/>
      <c r="I220" s="60"/>
      <c r="J220" s="43"/>
      <c r="K220" s="67"/>
      <c r="L220" s="67"/>
      <c r="M220" s="43"/>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3"/>
      <c r="AP220" s="23"/>
      <c r="AQ220" s="23"/>
      <c r="AR220" s="23"/>
      <c r="AS220" s="23"/>
      <c r="AT220" s="23"/>
      <c r="AU220" s="23"/>
      <c r="AV220" s="23"/>
      <c r="AW220" s="23"/>
      <c r="AX220" s="23"/>
    </row>
    <row r="221" spans="1:50" s="49" customFormat="1" x14ac:dyDescent="0.2">
      <c r="A221" s="47"/>
      <c r="B221" s="47"/>
      <c r="C221" s="47"/>
      <c r="D221" s="47"/>
      <c r="E221" s="47"/>
      <c r="F221" s="47"/>
      <c r="G221" s="47"/>
      <c r="H221" s="47"/>
      <c r="I221" s="60"/>
      <c r="J221" s="43"/>
      <c r="K221" s="67"/>
      <c r="L221" s="67"/>
      <c r="M221" s="43"/>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3"/>
      <c r="AP221" s="23"/>
      <c r="AQ221" s="23"/>
      <c r="AR221" s="23"/>
      <c r="AS221" s="23"/>
      <c r="AT221" s="23"/>
      <c r="AU221" s="23"/>
      <c r="AV221" s="23"/>
      <c r="AW221" s="23"/>
      <c r="AX221" s="23"/>
    </row>
    <row r="222" spans="1:50" s="49" customFormat="1" x14ac:dyDescent="0.2">
      <c r="A222" s="47"/>
      <c r="B222" s="47"/>
      <c r="C222" s="47"/>
      <c r="D222" s="47"/>
      <c r="E222" s="47"/>
      <c r="F222" s="47"/>
      <c r="G222" s="47"/>
      <c r="H222" s="47"/>
      <c r="I222" s="60"/>
      <c r="J222" s="43"/>
      <c r="K222" s="67"/>
      <c r="L222" s="67"/>
      <c r="M222" s="43"/>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3"/>
      <c r="AP222" s="23"/>
      <c r="AQ222" s="23"/>
      <c r="AR222" s="23"/>
      <c r="AS222" s="23"/>
      <c r="AT222" s="23"/>
      <c r="AU222" s="23"/>
      <c r="AV222" s="23"/>
      <c r="AW222" s="23"/>
      <c r="AX222" s="23"/>
    </row>
    <row r="223" spans="1:50" s="49" customFormat="1" x14ac:dyDescent="0.2">
      <c r="A223" s="47"/>
      <c r="B223" s="47"/>
      <c r="C223" s="47"/>
      <c r="D223" s="47"/>
      <c r="E223" s="47"/>
      <c r="F223" s="47"/>
      <c r="G223" s="47"/>
      <c r="H223" s="47"/>
      <c r="I223" s="60"/>
      <c r="J223" s="43"/>
      <c r="K223" s="67"/>
      <c r="L223" s="67"/>
      <c r="M223" s="43"/>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3"/>
      <c r="AP223" s="23"/>
      <c r="AQ223" s="23"/>
      <c r="AR223" s="23"/>
      <c r="AS223" s="23"/>
      <c r="AT223" s="23"/>
      <c r="AU223" s="23"/>
      <c r="AV223" s="23"/>
      <c r="AW223" s="23"/>
      <c r="AX223" s="23"/>
    </row>
    <row r="224" spans="1:50" s="49" customFormat="1" x14ac:dyDescent="0.2">
      <c r="A224" s="47"/>
      <c r="B224" s="47"/>
      <c r="C224" s="47"/>
      <c r="D224" s="47"/>
      <c r="E224" s="47"/>
      <c r="F224" s="47"/>
      <c r="G224" s="47"/>
      <c r="H224" s="47"/>
      <c r="I224" s="60"/>
      <c r="J224" s="43"/>
      <c r="K224" s="67"/>
      <c r="L224" s="67"/>
      <c r="M224" s="43"/>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3"/>
      <c r="AP224" s="23"/>
      <c r="AQ224" s="23"/>
      <c r="AR224" s="23"/>
      <c r="AS224" s="23"/>
      <c r="AT224" s="23"/>
      <c r="AU224" s="23"/>
      <c r="AV224" s="23"/>
      <c r="AW224" s="23"/>
      <c r="AX224" s="23"/>
    </row>
    <row r="225" spans="1:50" s="49" customFormat="1" x14ac:dyDescent="0.2">
      <c r="A225" s="47"/>
      <c r="B225" s="47"/>
      <c r="C225" s="47"/>
      <c r="D225" s="47"/>
      <c r="E225" s="47"/>
      <c r="F225" s="47"/>
      <c r="G225" s="47"/>
      <c r="H225" s="47"/>
      <c r="I225" s="60"/>
      <c r="J225" s="43"/>
      <c r="K225" s="67"/>
      <c r="L225" s="67"/>
      <c r="M225" s="43"/>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3"/>
      <c r="AP225" s="23"/>
      <c r="AQ225" s="23"/>
      <c r="AR225" s="23"/>
      <c r="AS225" s="23"/>
      <c r="AT225" s="23"/>
      <c r="AU225" s="23"/>
      <c r="AV225" s="23"/>
      <c r="AW225" s="23"/>
      <c r="AX225" s="23"/>
    </row>
    <row r="226" spans="1:50" s="49" customFormat="1" x14ac:dyDescent="0.2">
      <c r="A226" s="47"/>
      <c r="B226" s="47"/>
      <c r="C226" s="47"/>
      <c r="D226" s="47"/>
      <c r="E226" s="47"/>
      <c r="F226" s="47"/>
      <c r="G226" s="47"/>
      <c r="H226" s="47"/>
      <c r="I226" s="60"/>
      <c r="J226" s="43"/>
      <c r="K226" s="67"/>
      <c r="L226" s="67"/>
      <c r="M226" s="43"/>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3"/>
      <c r="AP226" s="23"/>
      <c r="AQ226" s="23"/>
      <c r="AR226" s="23"/>
      <c r="AS226" s="23"/>
      <c r="AT226" s="23"/>
      <c r="AU226" s="23"/>
      <c r="AV226" s="23"/>
      <c r="AW226" s="23"/>
      <c r="AX226" s="23"/>
    </row>
    <row r="227" spans="1:50" s="49" customFormat="1" x14ac:dyDescent="0.2">
      <c r="A227" s="47"/>
      <c r="B227" s="47"/>
      <c r="C227" s="47"/>
      <c r="D227" s="47"/>
      <c r="E227" s="47"/>
      <c r="F227" s="47"/>
      <c r="G227" s="47"/>
      <c r="H227" s="47"/>
      <c r="I227" s="60"/>
      <c r="J227" s="43"/>
      <c r="K227" s="67"/>
      <c r="L227" s="67"/>
      <c r="M227" s="43"/>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3"/>
      <c r="AP227" s="23"/>
      <c r="AQ227" s="23"/>
      <c r="AR227" s="23"/>
      <c r="AS227" s="23"/>
      <c r="AT227" s="23"/>
      <c r="AU227" s="23"/>
      <c r="AV227" s="23"/>
      <c r="AW227" s="23"/>
      <c r="AX227" s="23"/>
    </row>
    <row r="228" spans="1:50" s="49" customFormat="1" x14ac:dyDescent="0.2">
      <c r="A228" s="47"/>
      <c r="B228" s="47"/>
      <c r="C228" s="47"/>
      <c r="D228" s="47"/>
      <c r="E228" s="47"/>
      <c r="F228" s="47"/>
      <c r="G228" s="47"/>
      <c r="H228" s="47"/>
      <c r="I228" s="60"/>
      <c r="J228" s="43"/>
      <c r="K228" s="67"/>
      <c r="L228" s="67"/>
      <c r="M228" s="43"/>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3"/>
      <c r="AP228" s="23"/>
      <c r="AQ228" s="23"/>
      <c r="AR228" s="23"/>
      <c r="AS228" s="23"/>
      <c r="AT228" s="23"/>
      <c r="AU228" s="23"/>
      <c r="AV228" s="23"/>
      <c r="AW228" s="23"/>
      <c r="AX228" s="23"/>
    </row>
    <row r="229" spans="1:50" s="49" customFormat="1" x14ac:dyDescent="0.2">
      <c r="A229" s="47"/>
      <c r="B229" s="47"/>
      <c r="C229" s="47"/>
      <c r="D229" s="47"/>
      <c r="E229" s="47"/>
      <c r="F229" s="47"/>
      <c r="G229" s="47"/>
      <c r="H229" s="47"/>
      <c r="I229" s="60"/>
      <c r="J229" s="43"/>
      <c r="K229" s="67"/>
      <c r="L229" s="67"/>
      <c r="M229" s="43"/>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3"/>
      <c r="AP229" s="23"/>
      <c r="AQ229" s="23"/>
      <c r="AR229" s="23"/>
      <c r="AS229" s="23"/>
      <c r="AT229" s="23"/>
      <c r="AU229" s="23"/>
      <c r="AV229" s="23"/>
      <c r="AW229" s="23"/>
      <c r="AX229" s="23"/>
    </row>
    <row r="230" spans="1:50" s="49" customFormat="1" x14ac:dyDescent="0.2">
      <c r="A230" s="47"/>
      <c r="B230" s="47"/>
      <c r="C230" s="47"/>
      <c r="D230" s="47"/>
      <c r="E230" s="47"/>
      <c r="F230" s="47"/>
      <c r="G230" s="47"/>
      <c r="H230" s="47"/>
      <c r="I230" s="60"/>
      <c r="J230" s="43"/>
      <c r="K230" s="67"/>
      <c r="L230" s="67"/>
      <c r="M230" s="43"/>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3"/>
      <c r="AP230" s="23"/>
      <c r="AQ230" s="23"/>
      <c r="AR230" s="23"/>
      <c r="AS230" s="23"/>
      <c r="AT230" s="23"/>
      <c r="AU230" s="23"/>
      <c r="AV230" s="23"/>
      <c r="AW230" s="23"/>
      <c r="AX230" s="23"/>
    </row>
    <row r="231" spans="1:50" s="49" customFormat="1" x14ac:dyDescent="0.2">
      <c r="A231" s="47"/>
      <c r="B231" s="47"/>
      <c r="C231" s="47"/>
      <c r="D231" s="47"/>
      <c r="E231" s="47"/>
      <c r="F231" s="47"/>
      <c r="G231" s="47"/>
      <c r="H231" s="47"/>
      <c r="I231" s="60"/>
      <c r="J231" s="43"/>
      <c r="K231" s="67"/>
      <c r="L231" s="67"/>
      <c r="M231" s="43"/>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3"/>
      <c r="AP231" s="23"/>
      <c r="AQ231" s="23"/>
      <c r="AR231" s="23"/>
      <c r="AS231" s="23"/>
      <c r="AT231" s="23"/>
      <c r="AU231" s="23"/>
      <c r="AV231" s="23"/>
      <c r="AW231" s="23"/>
      <c r="AX231" s="23"/>
    </row>
    <row r="232" spans="1:50" s="49" customFormat="1" x14ac:dyDescent="0.2">
      <c r="A232" s="47"/>
      <c r="B232" s="47"/>
      <c r="C232" s="47"/>
      <c r="D232" s="47"/>
      <c r="E232" s="47"/>
      <c r="F232" s="47"/>
      <c r="G232" s="47"/>
      <c r="H232" s="47"/>
      <c r="I232" s="60"/>
      <c r="J232" s="43"/>
      <c r="K232" s="67"/>
      <c r="L232" s="67"/>
      <c r="M232" s="43"/>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3"/>
      <c r="AP232" s="23"/>
      <c r="AQ232" s="23"/>
      <c r="AR232" s="23"/>
      <c r="AS232" s="23"/>
      <c r="AT232" s="23"/>
      <c r="AU232" s="23"/>
      <c r="AV232" s="23"/>
      <c r="AW232" s="23"/>
      <c r="AX232" s="23"/>
    </row>
    <row r="233" spans="1:50" s="49" customFormat="1" x14ac:dyDescent="0.2">
      <c r="A233" s="47"/>
      <c r="B233" s="47"/>
      <c r="C233" s="47"/>
      <c r="D233" s="47"/>
      <c r="E233" s="47"/>
      <c r="F233" s="47"/>
      <c r="G233" s="47"/>
      <c r="H233" s="47"/>
      <c r="I233" s="60"/>
      <c r="J233" s="43"/>
      <c r="K233" s="67"/>
      <c r="L233" s="67"/>
      <c r="M233" s="43"/>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3"/>
      <c r="AP233" s="23"/>
      <c r="AQ233" s="23"/>
      <c r="AR233" s="23"/>
      <c r="AS233" s="23"/>
      <c r="AT233" s="23"/>
      <c r="AU233" s="23"/>
      <c r="AV233" s="23"/>
      <c r="AW233" s="23"/>
      <c r="AX233" s="23"/>
    </row>
    <row r="234" spans="1:50" s="49" customFormat="1" x14ac:dyDescent="0.2">
      <c r="A234" s="47"/>
      <c r="B234" s="47"/>
      <c r="C234" s="47"/>
      <c r="D234" s="47"/>
      <c r="E234" s="47"/>
      <c r="F234" s="47"/>
      <c r="G234" s="47"/>
      <c r="H234" s="47"/>
      <c r="I234" s="60"/>
      <c r="J234" s="43"/>
      <c r="K234" s="67"/>
      <c r="L234" s="67"/>
      <c r="M234" s="43"/>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3"/>
      <c r="AP234" s="23"/>
      <c r="AQ234" s="23"/>
      <c r="AR234" s="23"/>
      <c r="AS234" s="23"/>
      <c r="AT234" s="23"/>
      <c r="AU234" s="23"/>
      <c r="AV234" s="23"/>
      <c r="AW234" s="23"/>
      <c r="AX234" s="23"/>
    </row>
    <row r="235" spans="1:50" s="49" customFormat="1" x14ac:dyDescent="0.2">
      <c r="A235" s="47"/>
      <c r="B235" s="47"/>
      <c r="C235" s="47"/>
      <c r="D235" s="47"/>
      <c r="E235" s="47"/>
      <c r="F235" s="47"/>
      <c r="G235" s="47"/>
      <c r="H235" s="47"/>
      <c r="I235" s="60"/>
      <c r="J235" s="43"/>
      <c r="K235" s="67"/>
      <c r="L235" s="67"/>
      <c r="M235" s="43"/>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3"/>
      <c r="AP235" s="23"/>
      <c r="AQ235" s="23"/>
      <c r="AR235" s="23"/>
      <c r="AS235" s="23"/>
      <c r="AT235" s="23"/>
      <c r="AU235" s="23"/>
      <c r="AV235" s="23"/>
      <c r="AW235" s="23"/>
      <c r="AX235" s="23"/>
    </row>
    <row r="236" spans="1:50" s="49" customFormat="1" x14ac:dyDescent="0.2">
      <c r="A236" s="47"/>
      <c r="B236" s="47"/>
      <c r="C236" s="47"/>
      <c r="D236" s="47"/>
      <c r="E236" s="47"/>
      <c r="F236" s="47"/>
      <c r="G236" s="47"/>
      <c r="H236" s="47"/>
      <c r="I236" s="60"/>
      <c r="J236" s="43"/>
      <c r="K236" s="67"/>
      <c r="L236" s="67"/>
      <c r="M236" s="43"/>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3"/>
      <c r="AP236" s="23"/>
      <c r="AQ236" s="23"/>
      <c r="AR236" s="23"/>
      <c r="AS236" s="23"/>
      <c r="AT236" s="23"/>
      <c r="AU236" s="23"/>
      <c r="AV236" s="23"/>
      <c r="AW236" s="23"/>
      <c r="AX236" s="23"/>
    </row>
    <row r="237" spans="1:50" s="49" customFormat="1" x14ac:dyDescent="0.2">
      <c r="A237" s="47"/>
      <c r="B237" s="47"/>
      <c r="C237" s="47"/>
      <c r="D237" s="47"/>
      <c r="E237" s="47"/>
      <c r="F237" s="47"/>
      <c r="G237" s="47"/>
      <c r="H237" s="47"/>
      <c r="I237" s="60"/>
      <c r="J237" s="43"/>
      <c r="K237" s="67"/>
      <c r="L237" s="67"/>
      <c r="M237" s="43"/>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3"/>
      <c r="AP237" s="23"/>
      <c r="AQ237" s="23"/>
      <c r="AR237" s="23"/>
      <c r="AS237" s="23"/>
      <c r="AT237" s="23"/>
      <c r="AU237" s="23"/>
      <c r="AV237" s="23"/>
      <c r="AW237" s="23"/>
      <c r="AX237" s="23"/>
    </row>
    <row r="238" spans="1:50" s="25" customFormat="1" x14ac:dyDescent="0.2">
      <c r="A238" s="47"/>
      <c r="B238" s="47"/>
      <c r="C238" s="47"/>
      <c r="D238" s="47"/>
      <c r="E238" s="47"/>
      <c r="F238" s="47"/>
      <c r="G238" s="47"/>
      <c r="H238" s="47"/>
      <c r="I238" s="60"/>
      <c r="J238" s="43"/>
      <c r="K238" s="67"/>
      <c r="L238" s="67"/>
      <c r="M238" s="43"/>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3"/>
      <c r="AP238" s="23"/>
      <c r="AQ238" s="23"/>
      <c r="AR238" s="23"/>
      <c r="AS238" s="23"/>
      <c r="AT238" s="23"/>
      <c r="AU238" s="23"/>
      <c r="AV238" s="23"/>
      <c r="AW238" s="24"/>
      <c r="AX238" s="24"/>
    </row>
    <row r="239" spans="1:50" s="25" customFormat="1" x14ac:dyDescent="0.2">
      <c r="A239" s="47"/>
      <c r="B239" s="47"/>
      <c r="C239" s="47"/>
      <c r="D239" s="47"/>
      <c r="E239" s="47"/>
      <c r="F239" s="47"/>
      <c r="G239" s="47"/>
      <c r="H239" s="47"/>
      <c r="I239" s="60"/>
      <c r="J239" s="43"/>
      <c r="K239" s="67"/>
      <c r="L239" s="67"/>
      <c r="M239" s="43"/>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3"/>
      <c r="AP239" s="23"/>
      <c r="AQ239" s="23"/>
      <c r="AR239" s="23"/>
      <c r="AS239" s="23"/>
      <c r="AT239" s="23"/>
      <c r="AU239" s="23"/>
      <c r="AV239" s="23"/>
      <c r="AW239" s="24"/>
      <c r="AX239" s="24"/>
    </row>
    <row r="240" spans="1:50" s="25" customFormat="1" x14ac:dyDescent="0.2">
      <c r="A240" s="47"/>
      <c r="B240" s="50"/>
      <c r="C240" s="50"/>
      <c r="D240" s="50"/>
      <c r="E240" s="50"/>
      <c r="F240" s="50"/>
      <c r="G240" s="50"/>
      <c r="H240" s="50"/>
      <c r="I240" s="60"/>
      <c r="J240" s="43"/>
      <c r="K240" s="67"/>
      <c r="L240" s="67"/>
      <c r="M240" s="43"/>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3"/>
      <c r="AP240" s="23"/>
      <c r="AQ240" s="23"/>
      <c r="AR240" s="23"/>
      <c r="AS240" s="23"/>
      <c r="AT240" s="23"/>
      <c r="AU240" s="23"/>
      <c r="AV240" s="23"/>
      <c r="AW240" s="24"/>
      <c r="AX240" s="24"/>
    </row>
    <row r="241" spans="1:51" s="25" customFormat="1" x14ac:dyDescent="0.2">
      <c r="A241" s="47"/>
      <c r="B241" s="4"/>
      <c r="C241" s="4"/>
      <c r="D241" s="4"/>
      <c r="E241" s="4"/>
      <c r="F241" s="4"/>
      <c r="G241" s="4"/>
      <c r="H241" s="4"/>
      <c r="I241" s="60"/>
      <c r="J241" s="43"/>
      <c r="K241" s="67"/>
      <c r="L241" s="67"/>
      <c r="M241" s="43"/>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3"/>
      <c r="AP241" s="23"/>
      <c r="AQ241" s="23"/>
      <c r="AR241" s="23"/>
      <c r="AS241" s="23"/>
      <c r="AT241" s="23"/>
      <c r="AU241" s="23"/>
      <c r="AV241" s="23"/>
      <c r="AW241" s="24"/>
      <c r="AX241" s="24"/>
    </row>
    <row r="242" spans="1:51" s="25" customFormat="1" x14ac:dyDescent="0.2">
      <c r="A242" s="47"/>
      <c r="B242" s="4"/>
      <c r="C242" s="4"/>
      <c r="D242" s="4"/>
      <c r="E242" s="4"/>
      <c r="F242" s="4"/>
      <c r="G242" s="4"/>
      <c r="H242" s="4"/>
      <c r="I242" s="60"/>
      <c r="J242" s="43"/>
      <c r="K242" s="67"/>
      <c r="L242" s="67"/>
      <c r="M242" s="43"/>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3"/>
      <c r="AP242" s="23"/>
      <c r="AQ242" s="23"/>
      <c r="AR242" s="23"/>
      <c r="AS242" s="23"/>
      <c r="AT242" s="23"/>
      <c r="AU242" s="23"/>
      <c r="AV242" s="23"/>
      <c r="AW242" s="24"/>
      <c r="AX242" s="24"/>
    </row>
    <row r="243" spans="1:51" s="25" customFormat="1" x14ac:dyDescent="0.2">
      <c r="A243" s="47"/>
      <c r="B243" s="4"/>
      <c r="C243" s="4"/>
      <c r="D243" s="4"/>
      <c r="E243" s="4"/>
      <c r="F243" s="4"/>
      <c r="G243" s="4"/>
      <c r="H243" s="4"/>
      <c r="I243" s="60"/>
      <c r="J243" s="43"/>
      <c r="K243" s="67"/>
      <c r="L243" s="67"/>
      <c r="M243" s="43"/>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3"/>
      <c r="AP243" s="23"/>
      <c r="AQ243" s="23"/>
      <c r="AR243" s="23"/>
      <c r="AS243" s="23"/>
      <c r="AT243" s="23"/>
      <c r="AU243" s="23"/>
      <c r="AV243" s="23"/>
      <c r="AW243" s="24"/>
      <c r="AX243" s="24"/>
    </row>
    <row r="244" spans="1:51" s="25" customFormat="1" x14ac:dyDescent="0.2">
      <c r="A244" s="47"/>
      <c r="B244" s="4"/>
      <c r="C244" s="4"/>
      <c r="D244" s="4"/>
      <c r="E244" s="4"/>
      <c r="F244" s="4"/>
      <c r="G244" s="4"/>
      <c r="H244" s="4"/>
      <c r="I244" s="60"/>
      <c r="J244" s="43"/>
      <c r="K244" s="67"/>
      <c r="L244" s="67"/>
      <c r="M244" s="43"/>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3"/>
      <c r="AP244" s="23"/>
      <c r="AQ244" s="23"/>
      <c r="AR244" s="23"/>
      <c r="AS244" s="23"/>
      <c r="AT244" s="23"/>
      <c r="AU244" s="23"/>
      <c r="AV244" s="23"/>
      <c r="AW244" s="24"/>
      <c r="AX244" s="24"/>
    </row>
    <row r="245" spans="1:51" s="25" customFormat="1" x14ac:dyDescent="0.2">
      <c r="A245" s="47"/>
      <c r="B245" s="4"/>
      <c r="C245" s="4"/>
      <c r="D245" s="4"/>
      <c r="E245" s="4"/>
      <c r="F245" s="4"/>
      <c r="G245" s="4"/>
      <c r="H245" s="4"/>
      <c r="I245" s="60"/>
      <c r="J245" s="43"/>
      <c r="K245" s="67"/>
      <c r="L245" s="67"/>
      <c r="M245" s="43"/>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3"/>
      <c r="AP245" s="23"/>
      <c r="AQ245" s="23"/>
      <c r="AR245" s="23"/>
      <c r="AS245" s="23"/>
      <c r="AT245" s="23"/>
      <c r="AU245" s="23"/>
      <c r="AV245" s="23"/>
      <c r="AW245" s="24"/>
      <c r="AX245" s="24"/>
    </row>
    <row r="246" spans="1:51" s="25" customFormat="1" x14ac:dyDescent="0.2">
      <c r="A246" s="47"/>
      <c r="B246" s="4"/>
      <c r="C246" s="4"/>
      <c r="D246" s="4"/>
      <c r="E246" s="4"/>
      <c r="F246" s="4"/>
      <c r="G246" s="4"/>
      <c r="H246" s="4"/>
      <c r="I246" s="60"/>
      <c r="J246" s="43"/>
      <c r="K246" s="67"/>
      <c r="L246" s="67"/>
      <c r="M246" s="43"/>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3"/>
      <c r="AP246" s="23"/>
      <c r="AQ246" s="23"/>
      <c r="AR246" s="23"/>
      <c r="AS246" s="23"/>
      <c r="AT246" s="23"/>
      <c r="AU246" s="23"/>
      <c r="AV246" s="23"/>
      <c r="AW246" s="24"/>
      <c r="AX246" s="24"/>
    </row>
    <row r="247" spans="1:51" s="25" customFormat="1" x14ac:dyDescent="0.2">
      <c r="A247" s="47"/>
      <c r="B247" s="4"/>
      <c r="C247" s="4"/>
      <c r="D247" s="4"/>
      <c r="E247" s="4"/>
      <c r="F247" s="4"/>
      <c r="G247" s="4"/>
      <c r="H247" s="4"/>
      <c r="I247" s="60"/>
      <c r="J247" s="43"/>
      <c r="K247" s="67"/>
      <c r="L247" s="67"/>
      <c r="M247" s="43"/>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3"/>
      <c r="AP247" s="23"/>
      <c r="AQ247" s="23"/>
      <c r="AR247" s="23"/>
      <c r="AS247" s="23"/>
      <c r="AT247" s="23"/>
      <c r="AU247" s="23"/>
      <c r="AV247" s="23"/>
      <c r="AW247" s="24"/>
      <c r="AX247" s="24"/>
    </row>
    <row r="248" spans="1:51" s="5" customFormat="1" x14ac:dyDescent="0.2">
      <c r="A248" s="4"/>
      <c r="B248" s="4"/>
      <c r="C248" s="4"/>
      <c r="D248" s="4"/>
      <c r="E248" s="4"/>
      <c r="F248" s="4"/>
      <c r="G248" s="4"/>
      <c r="H248" s="4"/>
      <c r="I248" s="60"/>
      <c r="J248" s="43"/>
      <c r="K248" s="67"/>
      <c r="L248" s="67"/>
      <c r="M248" s="43"/>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3"/>
      <c r="AP248" s="23"/>
      <c r="AQ248" s="23"/>
      <c r="AR248" s="23"/>
      <c r="AS248" s="23"/>
      <c r="AT248" s="23"/>
      <c r="AU248" s="23"/>
      <c r="AV248" s="23"/>
      <c r="AW248" s="24"/>
      <c r="AX248" s="24"/>
      <c r="AY248" s="25"/>
    </row>
    <row r="249" spans="1:51" s="5" customFormat="1" x14ac:dyDescent="0.2">
      <c r="A249" s="4"/>
      <c r="B249" s="4"/>
      <c r="C249" s="4"/>
      <c r="D249" s="4"/>
      <c r="E249" s="4"/>
      <c r="F249" s="4"/>
      <c r="G249" s="4"/>
      <c r="H249" s="4"/>
      <c r="I249" s="60"/>
      <c r="J249" s="43"/>
      <c r="K249" s="67"/>
      <c r="L249" s="67"/>
      <c r="M249" s="43"/>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3"/>
      <c r="AP249" s="23"/>
      <c r="AQ249" s="23"/>
      <c r="AR249" s="23"/>
      <c r="AS249" s="23"/>
      <c r="AT249" s="23"/>
      <c r="AU249" s="23"/>
      <c r="AV249" s="23"/>
      <c r="AW249" s="24"/>
      <c r="AX249" s="24"/>
      <c r="AY249" s="25"/>
    </row>
    <row r="250" spans="1:51" s="5" customFormat="1" x14ac:dyDescent="0.2">
      <c r="A250" s="4"/>
      <c r="B250" s="4"/>
      <c r="C250" s="4"/>
      <c r="D250" s="4"/>
      <c r="E250" s="4"/>
      <c r="F250" s="4"/>
      <c r="G250" s="4"/>
      <c r="H250" s="4"/>
      <c r="I250" s="60"/>
      <c r="J250" s="43"/>
      <c r="K250" s="67"/>
      <c r="L250" s="67"/>
      <c r="M250" s="43"/>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3"/>
      <c r="AP250" s="23"/>
      <c r="AQ250" s="23"/>
      <c r="AR250" s="23"/>
      <c r="AS250" s="23"/>
      <c r="AT250" s="23"/>
      <c r="AU250" s="23"/>
      <c r="AV250" s="23"/>
      <c r="AW250" s="24"/>
      <c r="AX250" s="24"/>
      <c r="AY250" s="25"/>
    </row>
    <row r="251" spans="1:51" s="5" customFormat="1" x14ac:dyDescent="0.2">
      <c r="A251" s="4"/>
      <c r="B251" s="4"/>
      <c r="C251" s="4"/>
      <c r="D251" s="4"/>
      <c r="E251" s="4"/>
      <c r="F251" s="4"/>
      <c r="G251" s="4"/>
      <c r="H251" s="4"/>
      <c r="I251" s="60"/>
      <c r="J251" s="43"/>
      <c r="K251" s="67"/>
      <c r="L251" s="67"/>
      <c r="M251" s="43"/>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3"/>
      <c r="AP251" s="23"/>
      <c r="AQ251" s="23"/>
      <c r="AR251" s="23"/>
      <c r="AS251" s="23"/>
      <c r="AT251" s="23"/>
      <c r="AU251" s="23"/>
      <c r="AV251" s="23"/>
      <c r="AW251" s="24"/>
      <c r="AX251" s="24"/>
      <c r="AY251" s="25"/>
    </row>
    <row r="252" spans="1:51" s="5" customFormat="1" x14ac:dyDescent="0.2">
      <c r="A252" s="4"/>
      <c r="B252" s="4"/>
      <c r="C252" s="4"/>
      <c r="D252" s="4"/>
      <c r="E252" s="4"/>
      <c r="F252" s="4"/>
      <c r="G252" s="4"/>
      <c r="H252" s="4"/>
      <c r="I252" s="60"/>
      <c r="J252" s="43"/>
      <c r="K252" s="67"/>
      <c r="L252" s="67"/>
      <c r="M252" s="43"/>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3"/>
      <c r="AP252" s="23"/>
      <c r="AQ252" s="23"/>
      <c r="AR252" s="23"/>
      <c r="AS252" s="23"/>
      <c r="AT252" s="23"/>
      <c r="AU252" s="23"/>
      <c r="AV252" s="23"/>
      <c r="AW252" s="24"/>
      <c r="AX252" s="24"/>
      <c r="AY252" s="25"/>
    </row>
    <row r="253" spans="1:51" s="5" customFormat="1" x14ac:dyDescent="0.2">
      <c r="A253" s="4"/>
      <c r="B253" s="4"/>
      <c r="C253" s="4"/>
      <c r="D253" s="4"/>
      <c r="E253" s="4"/>
      <c r="F253" s="4"/>
      <c r="G253" s="4"/>
      <c r="H253" s="4"/>
      <c r="I253" s="60"/>
      <c r="J253" s="43"/>
      <c r="K253" s="67"/>
      <c r="L253" s="67"/>
      <c r="M253" s="43"/>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3"/>
      <c r="AP253" s="23"/>
      <c r="AQ253" s="23"/>
      <c r="AR253" s="23"/>
      <c r="AS253" s="23"/>
      <c r="AT253" s="23"/>
      <c r="AU253" s="23"/>
      <c r="AV253" s="23"/>
      <c r="AW253" s="24"/>
      <c r="AX253" s="24"/>
      <c r="AY253" s="25"/>
    </row>
    <row r="254" spans="1:51" s="5" customFormat="1" x14ac:dyDescent="0.2">
      <c r="A254" s="4"/>
      <c r="B254" s="4"/>
      <c r="C254" s="4"/>
      <c r="D254" s="4"/>
      <c r="E254" s="4"/>
      <c r="F254" s="4"/>
      <c r="G254" s="4"/>
      <c r="H254" s="4"/>
      <c r="I254" s="60"/>
      <c r="J254" s="43"/>
      <c r="K254" s="67"/>
      <c r="L254" s="67"/>
      <c r="M254" s="43"/>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3"/>
      <c r="AP254" s="23"/>
      <c r="AQ254" s="23"/>
      <c r="AR254" s="23"/>
      <c r="AS254" s="23"/>
      <c r="AT254" s="23"/>
      <c r="AU254" s="23"/>
      <c r="AV254" s="23"/>
      <c r="AW254" s="24"/>
      <c r="AX254" s="24"/>
      <c r="AY254" s="25"/>
    </row>
    <row r="255" spans="1:51" s="5" customFormat="1" x14ac:dyDescent="0.2">
      <c r="A255" s="4"/>
      <c r="B255" s="4"/>
      <c r="C255" s="4"/>
      <c r="D255" s="4"/>
      <c r="E255" s="4"/>
      <c r="F255" s="4"/>
      <c r="G255" s="4"/>
      <c r="H255" s="4"/>
      <c r="I255" s="60"/>
      <c r="J255" s="43"/>
      <c r="K255" s="67"/>
      <c r="L255" s="67"/>
      <c r="M255" s="43"/>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3"/>
      <c r="AP255" s="23"/>
      <c r="AQ255" s="23"/>
      <c r="AR255" s="23"/>
      <c r="AS255" s="23"/>
      <c r="AT255" s="23"/>
      <c r="AU255" s="23"/>
      <c r="AV255" s="23"/>
      <c r="AW255" s="24"/>
      <c r="AX255" s="24"/>
      <c r="AY255" s="25"/>
    </row>
    <row r="256" spans="1:51" s="5" customFormat="1" x14ac:dyDescent="0.2">
      <c r="A256" s="4"/>
      <c r="B256" s="4"/>
      <c r="C256" s="4"/>
      <c r="D256" s="4"/>
      <c r="E256" s="4"/>
      <c r="F256" s="4"/>
      <c r="G256" s="4"/>
      <c r="H256" s="4"/>
      <c r="I256" s="60"/>
      <c r="J256" s="43"/>
      <c r="K256" s="67"/>
      <c r="L256" s="67"/>
      <c r="M256" s="43"/>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3"/>
      <c r="AP256" s="23"/>
      <c r="AQ256" s="23"/>
      <c r="AR256" s="23"/>
      <c r="AS256" s="23"/>
      <c r="AT256" s="23"/>
      <c r="AU256" s="23"/>
      <c r="AV256" s="23"/>
      <c r="AW256" s="24"/>
      <c r="AX256" s="24"/>
      <c r="AY256" s="25"/>
    </row>
    <row r="257" spans="1:51" s="5" customFormat="1" x14ac:dyDescent="0.2">
      <c r="A257" s="4"/>
      <c r="B257" s="4"/>
      <c r="C257" s="4"/>
      <c r="D257" s="4"/>
      <c r="E257" s="4"/>
      <c r="F257" s="4"/>
      <c r="G257" s="4"/>
      <c r="H257" s="4"/>
      <c r="I257" s="60"/>
      <c r="J257" s="43"/>
      <c r="K257" s="67"/>
      <c r="L257" s="67"/>
      <c r="M257" s="43"/>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3"/>
      <c r="AP257" s="23"/>
      <c r="AQ257" s="23"/>
      <c r="AR257" s="23"/>
      <c r="AS257" s="23"/>
      <c r="AT257" s="23"/>
      <c r="AU257" s="23"/>
      <c r="AV257" s="23"/>
      <c r="AW257" s="24"/>
      <c r="AX257" s="24"/>
      <c r="AY257" s="25"/>
    </row>
    <row r="258" spans="1:51" s="5" customFormat="1" x14ac:dyDescent="0.2">
      <c r="A258" s="4"/>
      <c r="B258" s="4"/>
      <c r="C258" s="4"/>
      <c r="D258" s="4"/>
      <c r="E258" s="4"/>
      <c r="F258" s="4"/>
      <c r="G258" s="4"/>
      <c r="H258" s="4"/>
      <c r="I258" s="60"/>
      <c r="J258" s="43"/>
      <c r="K258" s="67"/>
      <c r="L258" s="67"/>
      <c r="M258" s="43"/>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3"/>
      <c r="AP258" s="23"/>
      <c r="AQ258" s="23"/>
      <c r="AR258" s="23"/>
      <c r="AS258" s="23"/>
      <c r="AT258" s="23"/>
      <c r="AU258" s="23"/>
      <c r="AV258" s="23"/>
      <c r="AW258" s="24"/>
      <c r="AX258" s="24"/>
      <c r="AY258" s="25"/>
    </row>
    <row r="259" spans="1:51" s="5" customFormat="1" x14ac:dyDescent="0.2">
      <c r="A259" s="4"/>
      <c r="B259" s="4"/>
      <c r="C259" s="4"/>
      <c r="D259" s="4"/>
      <c r="E259" s="4"/>
      <c r="F259" s="4"/>
      <c r="G259" s="4"/>
      <c r="H259" s="4"/>
      <c r="I259" s="60"/>
      <c r="J259" s="43"/>
      <c r="K259" s="67"/>
      <c r="L259" s="67"/>
      <c r="M259" s="43"/>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3"/>
      <c r="AP259" s="23"/>
      <c r="AQ259" s="23"/>
      <c r="AR259" s="23"/>
      <c r="AS259" s="23"/>
      <c r="AT259" s="23"/>
      <c r="AU259" s="23"/>
      <c r="AV259" s="23"/>
      <c r="AW259" s="24"/>
      <c r="AX259" s="24"/>
      <c r="AY259" s="25"/>
    </row>
    <row r="260" spans="1:51" s="5" customFormat="1" x14ac:dyDescent="0.2">
      <c r="A260" s="4"/>
      <c r="B260" s="4"/>
      <c r="C260" s="4"/>
      <c r="D260" s="4"/>
      <c r="E260" s="4"/>
      <c r="F260" s="4"/>
      <c r="G260" s="4"/>
      <c r="H260" s="4"/>
      <c r="I260" s="60"/>
      <c r="J260" s="43"/>
      <c r="K260" s="67"/>
      <c r="L260" s="67"/>
      <c r="M260" s="43"/>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3"/>
      <c r="AP260" s="23"/>
      <c r="AQ260" s="23"/>
      <c r="AR260" s="23"/>
      <c r="AS260" s="23"/>
      <c r="AT260" s="23"/>
      <c r="AU260" s="23"/>
      <c r="AV260" s="23"/>
      <c r="AW260" s="24"/>
      <c r="AX260" s="24"/>
      <c r="AY260" s="25"/>
    </row>
    <row r="261" spans="1:51" s="5" customFormat="1" x14ac:dyDescent="0.2">
      <c r="A261" s="4"/>
      <c r="B261" s="4"/>
      <c r="C261" s="4"/>
      <c r="D261" s="4"/>
      <c r="E261" s="4"/>
      <c r="F261" s="4"/>
      <c r="G261" s="4"/>
      <c r="H261" s="4"/>
      <c r="I261" s="60"/>
      <c r="J261" s="43"/>
      <c r="K261" s="67"/>
      <c r="L261" s="67"/>
      <c r="M261" s="43"/>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3"/>
      <c r="AP261" s="23"/>
      <c r="AQ261" s="23"/>
      <c r="AR261" s="23"/>
      <c r="AS261" s="23"/>
      <c r="AT261" s="23"/>
      <c r="AU261" s="23"/>
      <c r="AV261" s="23"/>
      <c r="AW261" s="24"/>
      <c r="AX261" s="24"/>
      <c r="AY261" s="25"/>
    </row>
    <row r="262" spans="1:51" s="5" customFormat="1" x14ac:dyDescent="0.2">
      <c r="A262" s="4"/>
      <c r="B262" s="4"/>
      <c r="C262" s="4"/>
      <c r="D262" s="4"/>
      <c r="E262" s="4"/>
      <c r="F262" s="4"/>
      <c r="G262" s="4"/>
      <c r="H262" s="4"/>
      <c r="I262" s="60"/>
      <c r="J262" s="43"/>
      <c r="K262" s="67"/>
      <c r="L262" s="67"/>
      <c r="M262" s="43"/>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3"/>
      <c r="AP262" s="23"/>
      <c r="AQ262" s="23"/>
      <c r="AR262" s="23"/>
      <c r="AS262" s="23"/>
      <c r="AT262" s="23"/>
      <c r="AU262" s="23"/>
      <c r="AV262" s="23"/>
      <c r="AW262" s="24"/>
      <c r="AX262" s="24"/>
      <c r="AY262" s="25"/>
    </row>
    <row r="263" spans="1:51" s="5" customFormat="1" x14ac:dyDescent="0.2">
      <c r="A263" s="4"/>
      <c r="B263" s="4"/>
      <c r="C263" s="4"/>
      <c r="D263" s="4"/>
      <c r="E263" s="4"/>
      <c r="F263" s="4"/>
      <c r="G263" s="4"/>
      <c r="H263" s="4"/>
      <c r="I263" s="60"/>
      <c r="J263" s="43"/>
      <c r="K263" s="67"/>
      <c r="L263" s="67"/>
      <c r="M263" s="43"/>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3"/>
      <c r="AP263" s="23"/>
      <c r="AQ263" s="23"/>
      <c r="AR263" s="23"/>
      <c r="AS263" s="23"/>
      <c r="AT263" s="23"/>
      <c r="AU263" s="23"/>
      <c r="AV263" s="23"/>
      <c r="AW263" s="24"/>
      <c r="AX263" s="24"/>
      <c r="AY263" s="25"/>
    </row>
    <row r="264" spans="1:51" s="5" customFormat="1" x14ac:dyDescent="0.2">
      <c r="A264" s="4"/>
      <c r="B264" s="4"/>
      <c r="C264" s="4"/>
      <c r="D264" s="4"/>
      <c r="E264" s="4"/>
      <c r="F264" s="4"/>
      <c r="G264" s="4"/>
      <c r="H264" s="4"/>
      <c r="I264" s="60"/>
      <c r="J264" s="43"/>
      <c r="K264" s="67"/>
      <c r="L264" s="67"/>
      <c r="M264" s="43"/>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3"/>
      <c r="AP264" s="23"/>
      <c r="AQ264" s="23"/>
      <c r="AR264" s="23"/>
      <c r="AS264" s="23"/>
      <c r="AT264" s="23"/>
      <c r="AU264" s="23"/>
      <c r="AV264" s="23"/>
      <c r="AW264" s="24"/>
      <c r="AX264" s="24"/>
      <c r="AY264" s="25"/>
    </row>
    <row r="265" spans="1:51" s="5" customFormat="1" x14ac:dyDescent="0.2">
      <c r="A265" s="4"/>
      <c r="B265" s="4"/>
      <c r="C265" s="4"/>
      <c r="D265" s="4"/>
      <c r="E265" s="4"/>
      <c r="F265" s="4"/>
      <c r="G265" s="4"/>
      <c r="H265" s="4"/>
      <c r="I265" s="60"/>
      <c r="J265" s="43"/>
      <c r="K265" s="67"/>
      <c r="L265" s="67"/>
      <c r="M265" s="43"/>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3"/>
      <c r="AP265" s="23"/>
      <c r="AQ265" s="23"/>
      <c r="AR265" s="23"/>
      <c r="AS265" s="23"/>
      <c r="AT265" s="23"/>
      <c r="AU265" s="23"/>
      <c r="AV265" s="23"/>
      <c r="AW265" s="24"/>
      <c r="AX265" s="24"/>
      <c r="AY265" s="25"/>
    </row>
    <row r="266" spans="1:51" s="5" customFormat="1" x14ac:dyDescent="0.2">
      <c r="A266" s="4"/>
      <c r="B266" s="4"/>
      <c r="C266" s="4"/>
      <c r="D266" s="4"/>
      <c r="E266" s="4"/>
      <c r="F266" s="4"/>
      <c r="G266" s="4"/>
      <c r="H266" s="4"/>
      <c r="I266" s="60"/>
      <c r="J266" s="43"/>
      <c r="K266" s="67"/>
      <c r="L266" s="67"/>
      <c r="M266" s="43"/>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3"/>
      <c r="AP266" s="23"/>
      <c r="AQ266" s="23"/>
      <c r="AR266" s="23"/>
      <c r="AS266" s="23"/>
      <c r="AT266" s="23"/>
      <c r="AU266" s="23"/>
      <c r="AV266" s="23"/>
      <c r="AW266" s="24"/>
      <c r="AX266" s="24"/>
      <c r="AY266" s="25"/>
    </row>
    <row r="267" spans="1:51" s="5" customFormat="1" x14ac:dyDescent="0.2">
      <c r="A267" s="4"/>
      <c r="B267" s="4"/>
      <c r="C267" s="4"/>
      <c r="D267" s="4"/>
      <c r="E267" s="4"/>
      <c r="F267" s="4"/>
      <c r="G267" s="4"/>
      <c r="H267" s="4"/>
      <c r="I267" s="60"/>
      <c r="J267" s="43"/>
      <c r="K267" s="67"/>
      <c r="L267" s="67"/>
      <c r="M267" s="43"/>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3"/>
      <c r="AP267" s="23"/>
      <c r="AQ267" s="23"/>
      <c r="AR267" s="23"/>
      <c r="AS267" s="23"/>
      <c r="AT267" s="23"/>
      <c r="AU267" s="23"/>
      <c r="AV267" s="23"/>
      <c r="AW267" s="24"/>
      <c r="AX267" s="24"/>
      <c r="AY267" s="25"/>
    </row>
    <row r="268" spans="1:51" s="5" customFormat="1" x14ac:dyDescent="0.2">
      <c r="A268" s="4"/>
      <c r="B268" s="4"/>
      <c r="C268" s="4"/>
      <c r="D268" s="4"/>
      <c r="E268" s="4"/>
      <c r="F268" s="4"/>
      <c r="G268" s="4"/>
      <c r="H268" s="4"/>
      <c r="I268" s="60"/>
      <c r="J268" s="43"/>
      <c r="K268" s="67"/>
      <c r="L268" s="67"/>
      <c r="M268" s="43"/>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3"/>
      <c r="AP268" s="23"/>
      <c r="AQ268" s="23"/>
      <c r="AR268" s="23"/>
      <c r="AS268" s="23"/>
      <c r="AT268" s="23"/>
      <c r="AU268" s="23"/>
      <c r="AV268" s="23"/>
      <c r="AW268" s="24"/>
      <c r="AX268" s="24"/>
      <c r="AY268" s="25"/>
    </row>
    <row r="269" spans="1:51" s="5" customFormat="1" x14ac:dyDescent="0.2">
      <c r="A269" s="4"/>
      <c r="B269" s="4"/>
      <c r="C269" s="4"/>
      <c r="D269" s="4"/>
      <c r="E269" s="4"/>
      <c r="F269" s="4"/>
      <c r="G269" s="4"/>
      <c r="H269" s="4"/>
      <c r="I269" s="60"/>
      <c r="J269" s="43"/>
      <c r="K269" s="67"/>
      <c r="L269" s="67"/>
      <c r="M269" s="43"/>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3"/>
      <c r="AP269" s="23"/>
      <c r="AQ269" s="23"/>
      <c r="AR269" s="23"/>
      <c r="AS269" s="23"/>
      <c r="AT269" s="23"/>
      <c r="AU269" s="23"/>
      <c r="AV269" s="23"/>
      <c r="AW269" s="24"/>
      <c r="AX269" s="24"/>
      <c r="AY269" s="25"/>
    </row>
    <row r="270" spans="1:51" s="5" customFormat="1" x14ac:dyDescent="0.2">
      <c r="A270" s="4"/>
      <c r="B270" s="4"/>
      <c r="C270" s="4"/>
      <c r="D270" s="4"/>
      <c r="E270" s="4"/>
      <c r="F270" s="4"/>
      <c r="G270" s="4"/>
      <c r="H270" s="4"/>
      <c r="I270" s="60"/>
      <c r="J270" s="43"/>
      <c r="K270" s="67"/>
      <c r="L270" s="67"/>
      <c r="M270" s="43"/>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3"/>
      <c r="AP270" s="23"/>
      <c r="AQ270" s="23"/>
      <c r="AR270" s="23"/>
      <c r="AS270" s="23"/>
      <c r="AT270" s="23"/>
      <c r="AU270" s="23"/>
      <c r="AV270" s="23"/>
      <c r="AW270" s="24"/>
      <c r="AX270" s="24"/>
      <c r="AY270" s="25"/>
    </row>
    <row r="271" spans="1:51" s="5" customFormat="1" x14ac:dyDescent="0.2">
      <c r="A271" s="4"/>
      <c r="B271" s="4"/>
      <c r="C271" s="4"/>
      <c r="D271" s="4"/>
      <c r="E271" s="4"/>
      <c r="F271" s="4"/>
      <c r="G271" s="4"/>
      <c r="H271" s="4"/>
      <c r="I271" s="60"/>
      <c r="J271" s="43"/>
      <c r="K271" s="67"/>
      <c r="L271" s="67"/>
      <c r="M271" s="43"/>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3"/>
      <c r="AP271" s="23"/>
      <c r="AQ271" s="23"/>
      <c r="AR271" s="23"/>
      <c r="AS271" s="23"/>
      <c r="AT271" s="23"/>
      <c r="AU271" s="23"/>
      <c r="AV271" s="23"/>
      <c r="AW271" s="24"/>
      <c r="AX271" s="24"/>
      <c r="AY271" s="25"/>
    </row>
    <row r="272" spans="1:51" s="5" customFormat="1" x14ac:dyDescent="0.2">
      <c r="A272" s="4"/>
      <c r="B272" s="4"/>
      <c r="C272" s="4"/>
      <c r="D272" s="4"/>
      <c r="E272" s="4"/>
      <c r="F272" s="4"/>
      <c r="G272" s="4"/>
      <c r="H272" s="4"/>
      <c r="I272" s="60"/>
      <c r="J272" s="43"/>
      <c r="K272" s="67"/>
      <c r="L272" s="67"/>
      <c r="M272" s="43"/>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3"/>
      <c r="AP272" s="23"/>
      <c r="AQ272" s="23"/>
      <c r="AR272" s="23"/>
      <c r="AS272" s="23"/>
      <c r="AT272" s="23"/>
      <c r="AU272" s="23"/>
      <c r="AV272" s="23"/>
      <c r="AW272" s="24"/>
      <c r="AX272" s="24"/>
      <c r="AY272" s="25"/>
    </row>
    <row r="273" spans="1:51" s="5" customFormat="1" x14ac:dyDescent="0.2">
      <c r="A273" s="4"/>
      <c r="B273" s="4"/>
      <c r="C273" s="4"/>
      <c r="D273" s="4"/>
      <c r="E273" s="4"/>
      <c r="F273" s="4"/>
      <c r="G273" s="4"/>
      <c r="H273" s="4"/>
      <c r="I273" s="60"/>
      <c r="J273" s="43"/>
      <c r="K273" s="67"/>
      <c r="L273" s="67"/>
      <c r="M273" s="43"/>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3"/>
      <c r="AP273" s="23"/>
      <c r="AQ273" s="23"/>
      <c r="AR273" s="23"/>
      <c r="AS273" s="23"/>
      <c r="AT273" s="23"/>
      <c r="AU273" s="23"/>
      <c r="AV273" s="23"/>
      <c r="AW273" s="24"/>
      <c r="AX273" s="24"/>
      <c r="AY273" s="25"/>
    </row>
    <row r="274" spans="1:51" s="5" customFormat="1" x14ac:dyDescent="0.2">
      <c r="A274" s="4"/>
      <c r="B274" s="4"/>
      <c r="C274" s="4"/>
      <c r="D274" s="4"/>
      <c r="E274" s="4"/>
      <c r="F274" s="4"/>
      <c r="G274" s="4"/>
      <c r="H274" s="4"/>
      <c r="I274" s="60"/>
      <c r="J274" s="43"/>
      <c r="K274" s="67"/>
      <c r="L274" s="67"/>
      <c r="M274" s="43"/>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3"/>
      <c r="AP274" s="23"/>
      <c r="AQ274" s="23"/>
      <c r="AR274" s="23"/>
      <c r="AS274" s="23"/>
      <c r="AT274" s="23"/>
      <c r="AU274" s="23"/>
      <c r="AV274" s="23"/>
      <c r="AW274" s="24"/>
      <c r="AX274" s="24"/>
      <c r="AY274" s="25"/>
    </row>
    <row r="275" spans="1:51" s="5" customFormat="1" x14ac:dyDescent="0.2">
      <c r="A275" s="4"/>
      <c r="B275" s="4"/>
      <c r="C275" s="4"/>
      <c r="D275" s="4"/>
      <c r="E275" s="4"/>
      <c r="F275" s="4"/>
      <c r="G275" s="4"/>
      <c r="H275" s="4"/>
      <c r="I275" s="60"/>
      <c r="J275" s="43"/>
      <c r="K275" s="67"/>
      <c r="L275" s="67"/>
      <c r="M275" s="43"/>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3"/>
      <c r="AP275" s="23"/>
      <c r="AQ275" s="23"/>
      <c r="AR275" s="23"/>
      <c r="AS275" s="23"/>
      <c r="AT275" s="23"/>
      <c r="AU275" s="23"/>
      <c r="AV275" s="23"/>
      <c r="AW275" s="24"/>
      <c r="AX275" s="24"/>
      <c r="AY275" s="25"/>
    </row>
    <row r="276" spans="1:51" s="5" customFormat="1" x14ac:dyDescent="0.2">
      <c r="A276" s="4"/>
      <c r="B276" s="4"/>
      <c r="C276" s="4"/>
      <c r="D276" s="4"/>
      <c r="E276" s="4"/>
      <c r="F276" s="4"/>
      <c r="G276" s="4"/>
      <c r="H276" s="4"/>
      <c r="I276" s="60"/>
      <c r="J276" s="43"/>
      <c r="K276" s="67"/>
      <c r="L276" s="67"/>
      <c r="M276" s="43"/>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3"/>
      <c r="AP276" s="23"/>
      <c r="AQ276" s="23"/>
      <c r="AR276" s="23"/>
      <c r="AS276" s="23"/>
      <c r="AT276" s="23"/>
      <c r="AU276" s="23"/>
      <c r="AV276" s="23"/>
      <c r="AW276" s="24"/>
      <c r="AX276" s="24"/>
      <c r="AY276" s="25"/>
    </row>
    <row r="277" spans="1:51" s="5" customFormat="1" x14ac:dyDescent="0.2">
      <c r="A277" s="4"/>
      <c r="B277" s="4"/>
      <c r="C277" s="4"/>
      <c r="D277" s="4"/>
      <c r="E277" s="4"/>
      <c r="F277" s="4"/>
      <c r="G277" s="4"/>
      <c r="H277" s="4"/>
      <c r="I277" s="60"/>
      <c r="J277" s="43"/>
      <c r="K277" s="67"/>
      <c r="L277" s="67"/>
      <c r="M277" s="43"/>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3"/>
      <c r="AP277" s="23"/>
      <c r="AQ277" s="23"/>
      <c r="AR277" s="23"/>
      <c r="AS277" s="23"/>
      <c r="AT277" s="23"/>
      <c r="AU277" s="23"/>
      <c r="AV277" s="23"/>
      <c r="AW277" s="24"/>
      <c r="AX277" s="24"/>
      <c r="AY277" s="25"/>
    </row>
    <row r="278" spans="1:51" s="5" customFormat="1" x14ac:dyDescent="0.2">
      <c r="A278" s="4"/>
      <c r="B278" s="4"/>
      <c r="C278" s="4"/>
      <c r="D278" s="4"/>
      <c r="E278" s="4"/>
      <c r="F278" s="4"/>
      <c r="G278" s="4"/>
      <c r="H278" s="4"/>
      <c r="I278" s="60"/>
      <c r="J278" s="43"/>
      <c r="K278" s="67"/>
      <c r="L278" s="67"/>
      <c r="M278" s="43"/>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3"/>
      <c r="AP278" s="23"/>
      <c r="AQ278" s="23"/>
      <c r="AR278" s="23"/>
      <c r="AS278" s="23"/>
      <c r="AT278" s="23"/>
      <c r="AU278" s="23"/>
      <c r="AV278" s="23"/>
      <c r="AW278" s="24"/>
      <c r="AX278" s="24"/>
      <c r="AY278" s="25"/>
    </row>
    <row r="279" spans="1:51" s="5" customFormat="1" x14ac:dyDescent="0.2">
      <c r="A279" s="4"/>
      <c r="B279" s="4"/>
      <c r="C279" s="4"/>
      <c r="D279" s="4"/>
      <c r="E279" s="4"/>
      <c r="F279" s="4"/>
      <c r="G279" s="4"/>
      <c r="H279" s="4"/>
      <c r="I279" s="60"/>
      <c r="J279" s="43"/>
      <c r="K279" s="67"/>
      <c r="L279" s="67"/>
      <c r="M279" s="43"/>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3"/>
      <c r="AP279" s="23"/>
      <c r="AQ279" s="23"/>
      <c r="AR279" s="23"/>
      <c r="AS279" s="23"/>
      <c r="AT279" s="23"/>
      <c r="AU279" s="23"/>
      <c r="AV279" s="23"/>
      <c r="AW279" s="24"/>
      <c r="AX279" s="24"/>
      <c r="AY279" s="25"/>
    </row>
    <row r="280" spans="1:51" s="5" customFormat="1" x14ac:dyDescent="0.2">
      <c r="A280" s="4"/>
      <c r="B280" s="4"/>
      <c r="C280" s="4"/>
      <c r="D280" s="4"/>
      <c r="E280" s="4"/>
      <c r="F280" s="4"/>
      <c r="G280" s="4"/>
      <c r="H280" s="4"/>
      <c r="I280" s="60"/>
      <c r="J280" s="43"/>
      <c r="K280" s="67"/>
      <c r="L280" s="67"/>
      <c r="M280" s="43"/>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3"/>
      <c r="AP280" s="23"/>
      <c r="AQ280" s="23"/>
      <c r="AR280" s="23"/>
      <c r="AS280" s="23"/>
      <c r="AT280" s="23"/>
      <c r="AU280" s="23"/>
      <c r="AV280" s="23"/>
      <c r="AW280" s="24"/>
      <c r="AX280" s="24"/>
      <c r="AY280" s="25"/>
    </row>
    <row r="281" spans="1:51" s="5" customFormat="1" x14ac:dyDescent="0.2">
      <c r="A281" s="4"/>
      <c r="B281" s="4"/>
      <c r="C281" s="4"/>
      <c r="D281" s="4"/>
      <c r="E281" s="4"/>
      <c r="F281" s="4"/>
      <c r="G281" s="4"/>
      <c r="H281" s="4"/>
      <c r="I281" s="60"/>
      <c r="J281" s="43"/>
      <c r="K281" s="67"/>
      <c r="L281" s="67"/>
      <c r="M281" s="43"/>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3"/>
      <c r="AP281" s="23"/>
      <c r="AQ281" s="23"/>
      <c r="AR281" s="23"/>
      <c r="AS281" s="23"/>
      <c r="AT281" s="23"/>
      <c r="AU281" s="23"/>
      <c r="AV281" s="23"/>
      <c r="AW281" s="24"/>
      <c r="AX281" s="24"/>
      <c r="AY281" s="25"/>
    </row>
    <row r="282" spans="1:51" s="5" customFormat="1" x14ac:dyDescent="0.2">
      <c r="A282" s="4"/>
      <c r="B282" s="4"/>
      <c r="C282" s="4"/>
      <c r="D282" s="4"/>
      <c r="E282" s="4"/>
      <c r="F282" s="4"/>
      <c r="G282" s="4"/>
      <c r="H282" s="4"/>
      <c r="I282" s="60"/>
      <c r="J282" s="43"/>
      <c r="K282" s="67"/>
      <c r="L282" s="67"/>
      <c r="M282" s="43"/>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3"/>
      <c r="AP282" s="23"/>
      <c r="AQ282" s="23"/>
      <c r="AR282" s="23"/>
      <c r="AS282" s="23"/>
      <c r="AT282" s="23"/>
      <c r="AU282" s="23"/>
      <c r="AV282" s="23"/>
      <c r="AW282" s="24"/>
      <c r="AX282" s="24"/>
      <c r="AY282" s="25"/>
    </row>
    <row r="283" spans="1:51" s="5" customFormat="1" x14ac:dyDescent="0.2">
      <c r="A283" s="4"/>
      <c r="B283" s="4"/>
      <c r="C283" s="4"/>
      <c r="D283" s="4"/>
      <c r="E283" s="4"/>
      <c r="F283" s="4"/>
      <c r="G283" s="4"/>
      <c r="H283" s="4"/>
      <c r="I283" s="60"/>
      <c r="J283" s="43"/>
      <c r="K283" s="67"/>
      <c r="L283" s="67"/>
      <c r="M283" s="43"/>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3"/>
      <c r="AP283" s="23"/>
      <c r="AQ283" s="23"/>
      <c r="AR283" s="23"/>
      <c r="AS283" s="23"/>
      <c r="AT283" s="23"/>
      <c r="AU283" s="23"/>
      <c r="AV283" s="23"/>
      <c r="AW283" s="24"/>
      <c r="AX283" s="24"/>
      <c r="AY283" s="25"/>
    </row>
    <row r="284" spans="1:51" s="5" customFormat="1" x14ac:dyDescent="0.2">
      <c r="A284" s="4"/>
      <c r="B284" s="4"/>
      <c r="C284" s="4"/>
      <c r="D284" s="4"/>
      <c r="E284" s="4"/>
      <c r="F284" s="4"/>
      <c r="G284" s="4"/>
      <c r="H284" s="4"/>
      <c r="I284" s="60"/>
      <c r="J284" s="43"/>
      <c r="K284" s="67"/>
      <c r="L284" s="67"/>
      <c r="M284" s="43"/>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3"/>
      <c r="AP284" s="23"/>
      <c r="AQ284" s="23"/>
      <c r="AR284" s="23"/>
      <c r="AS284" s="23"/>
      <c r="AT284" s="23"/>
      <c r="AU284" s="23"/>
      <c r="AV284" s="23"/>
      <c r="AW284" s="24"/>
      <c r="AX284" s="24"/>
      <c r="AY284" s="25"/>
    </row>
    <row r="285" spans="1:51" s="5" customFormat="1" x14ac:dyDescent="0.2">
      <c r="A285" s="4"/>
      <c r="B285" s="4"/>
      <c r="C285" s="4"/>
      <c r="D285" s="4"/>
      <c r="E285" s="4"/>
      <c r="F285" s="4"/>
      <c r="G285" s="4"/>
      <c r="H285" s="4"/>
      <c r="I285" s="60"/>
      <c r="J285" s="43"/>
      <c r="K285" s="67"/>
      <c r="L285" s="67"/>
      <c r="M285" s="43"/>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3"/>
      <c r="AP285" s="23"/>
      <c r="AQ285" s="23"/>
      <c r="AR285" s="23"/>
      <c r="AS285" s="23"/>
      <c r="AT285" s="23"/>
      <c r="AU285" s="23"/>
      <c r="AV285" s="23"/>
      <c r="AW285" s="24"/>
      <c r="AX285" s="24"/>
      <c r="AY285" s="25"/>
    </row>
    <row r="286" spans="1:51" s="5" customFormat="1" x14ac:dyDescent="0.2">
      <c r="A286" s="4"/>
      <c r="B286" s="4"/>
      <c r="C286" s="4"/>
      <c r="D286" s="4"/>
      <c r="E286" s="4"/>
      <c r="F286" s="4"/>
      <c r="G286" s="4"/>
      <c r="H286" s="4"/>
      <c r="I286" s="60"/>
      <c r="J286" s="43"/>
      <c r="K286" s="67"/>
      <c r="L286" s="67"/>
      <c r="M286" s="43"/>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3"/>
      <c r="AP286" s="23"/>
      <c r="AQ286" s="23"/>
      <c r="AR286" s="23"/>
      <c r="AS286" s="23"/>
      <c r="AT286" s="23"/>
      <c r="AU286" s="23"/>
      <c r="AV286" s="23"/>
      <c r="AW286" s="24"/>
      <c r="AX286" s="24"/>
      <c r="AY286" s="25"/>
    </row>
    <row r="287" spans="1:51" s="5" customFormat="1" x14ac:dyDescent="0.2">
      <c r="A287" s="4"/>
      <c r="B287" s="4"/>
      <c r="C287" s="4"/>
      <c r="D287" s="4"/>
      <c r="E287" s="4"/>
      <c r="F287" s="4"/>
      <c r="G287" s="4"/>
      <c r="H287" s="4"/>
      <c r="I287" s="60"/>
      <c r="J287" s="43"/>
      <c r="K287" s="67"/>
      <c r="L287" s="67"/>
      <c r="M287" s="43"/>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3"/>
      <c r="AP287" s="23"/>
      <c r="AQ287" s="23"/>
      <c r="AR287" s="23"/>
      <c r="AS287" s="23"/>
      <c r="AT287" s="23"/>
      <c r="AU287" s="23"/>
      <c r="AV287" s="23"/>
      <c r="AW287" s="24"/>
      <c r="AX287" s="24"/>
      <c r="AY287" s="25"/>
    </row>
    <row r="288" spans="1:51" s="5" customFormat="1" x14ac:dyDescent="0.2">
      <c r="A288" s="4"/>
      <c r="B288" s="4"/>
      <c r="C288" s="4"/>
      <c r="D288" s="4"/>
      <c r="E288" s="4"/>
      <c r="F288" s="4"/>
      <c r="G288" s="4"/>
      <c r="H288" s="4"/>
      <c r="I288" s="60"/>
      <c r="J288" s="43"/>
      <c r="K288" s="67"/>
      <c r="L288" s="67"/>
      <c r="M288" s="43"/>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3"/>
      <c r="AP288" s="23"/>
      <c r="AQ288" s="23"/>
      <c r="AR288" s="23"/>
      <c r="AS288" s="23"/>
      <c r="AT288" s="23"/>
      <c r="AU288" s="23"/>
      <c r="AV288" s="23"/>
      <c r="AW288" s="24"/>
      <c r="AX288" s="24"/>
      <c r="AY288" s="25"/>
    </row>
    <row r="289" spans="1:51" s="5" customFormat="1" x14ac:dyDescent="0.2">
      <c r="A289" s="4"/>
      <c r="B289" s="4"/>
      <c r="C289" s="4"/>
      <c r="D289" s="4"/>
      <c r="E289" s="4"/>
      <c r="F289" s="4"/>
      <c r="G289" s="4"/>
      <c r="H289" s="4"/>
      <c r="I289" s="60"/>
      <c r="J289" s="43"/>
      <c r="K289" s="67"/>
      <c r="L289" s="67"/>
      <c r="M289" s="43"/>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3"/>
      <c r="AP289" s="23"/>
      <c r="AQ289" s="23"/>
      <c r="AR289" s="23"/>
      <c r="AS289" s="23"/>
      <c r="AT289" s="23"/>
      <c r="AU289" s="23"/>
      <c r="AV289" s="23"/>
      <c r="AW289" s="24"/>
      <c r="AX289" s="24"/>
      <c r="AY289" s="25"/>
    </row>
    <row r="290" spans="1:51" s="5" customFormat="1" x14ac:dyDescent="0.2">
      <c r="A290" s="4"/>
      <c r="B290" s="4"/>
      <c r="C290" s="4"/>
      <c r="D290" s="4"/>
      <c r="E290" s="4"/>
      <c r="F290" s="4"/>
      <c r="G290" s="4"/>
      <c r="H290" s="4"/>
      <c r="I290" s="60"/>
      <c r="J290" s="43"/>
      <c r="K290" s="67"/>
      <c r="L290" s="67"/>
      <c r="M290" s="43"/>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3"/>
      <c r="AP290" s="23"/>
      <c r="AQ290" s="23"/>
      <c r="AR290" s="23"/>
      <c r="AS290" s="23"/>
      <c r="AT290" s="23"/>
      <c r="AU290" s="23"/>
      <c r="AV290" s="23"/>
      <c r="AW290" s="24"/>
      <c r="AX290" s="24"/>
      <c r="AY290" s="25"/>
    </row>
    <row r="291" spans="1:51" s="5" customFormat="1" x14ac:dyDescent="0.2">
      <c r="A291" s="4"/>
      <c r="B291" s="2"/>
      <c r="C291" s="2"/>
      <c r="D291" s="2"/>
      <c r="E291" s="2"/>
      <c r="F291" s="2"/>
      <c r="G291" s="2"/>
      <c r="H291" s="2"/>
      <c r="I291" s="60"/>
      <c r="J291" s="43"/>
      <c r="K291" s="67"/>
      <c r="L291" s="67"/>
      <c r="M291" s="43"/>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3"/>
      <c r="AP291" s="23"/>
      <c r="AQ291" s="23"/>
      <c r="AR291" s="23"/>
      <c r="AS291" s="23"/>
      <c r="AT291" s="23"/>
      <c r="AU291" s="23"/>
      <c r="AV291" s="23"/>
      <c r="AW291" s="24"/>
      <c r="AX291" s="24"/>
      <c r="AY291" s="25"/>
    </row>
    <row r="292" spans="1:51" s="5" customFormat="1" x14ac:dyDescent="0.2">
      <c r="A292" s="4"/>
      <c r="B292" s="2"/>
      <c r="C292" s="2"/>
      <c r="D292" s="2"/>
      <c r="E292" s="2"/>
      <c r="F292" s="2"/>
      <c r="G292" s="2"/>
      <c r="H292" s="2"/>
      <c r="I292" s="60"/>
      <c r="J292" s="43"/>
      <c r="K292" s="67"/>
      <c r="L292" s="67"/>
      <c r="M292" s="43"/>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3"/>
      <c r="AP292" s="23"/>
      <c r="AQ292" s="23"/>
      <c r="AR292" s="23"/>
      <c r="AS292" s="23"/>
      <c r="AT292" s="23"/>
      <c r="AU292" s="23"/>
      <c r="AV292" s="23"/>
      <c r="AW292" s="24"/>
      <c r="AX292" s="24"/>
      <c r="AY292" s="25"/>
    </row>
    <row r="293" spans="1:51" s="5" customFormat="1" x14ac:dyDescent="0.2">
      <c r="A293" s="4"/>
      <c r="B293" s="2"/>
      <c r="C293" s="2"/>
      <c r="D293" s="2"/>
      <c r="E293" s="2"/>
      <c r="F293" s="2"/>
      <c r="G293" s="2"/>
      <c r="H293" s="2"/>
      <c r="I293" s="60"/>
      <c r="J293" s="43"/>
      <c r="K293" s="67"/>
      <c r="L293" s="67"/>
      <c r="M293" s="43"/>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3"/>
      <c r="AP293" s="23"/>
      <c r="AQ293" s="23"/>
      <c r="AR293" s="23"/>
      <c r="AS293" s="23"/>
      <c r="AT293" s="23"/>
      <c r="AU293" s="23"/>
      <c r="AV293" s="23"/>
      <c r="AW293" s="24"/>
      <c r="AX293" s="24"/>
      <c r="AY293" s="25"/>
    </row>
    <row r="294" spans="1:51" s="5" customFormat="1" x14ac:dyDescent="0.2">
      <c r="A294" s="4"/>
      <c r="B294" s="2"/>
      <c r="C294" s="2"/>
      <c r="D294" s="2"/>
      <c r="E294" s="2"/>
      <c r="F294" s="2"/>
      <c r="G294" s="2"/>
      <c r="H294" s="2"/>
      <c r="I294" s="60"/>
      <c r="J294" s="43"/>
      <c r="K294" s="67"/>
      <c r="L294" s="67"/>
      <c r="M294" s="43"/>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3"/>
      <c r="AP294" s="23"/>
      <c r="AQ294" s="23"/>
      <c r="AR294" s="23"/>
      <c r="AS294" s="23"/>
      <c r="AT294" s="23"/>
      <c r="AU294" s="23"/>
      <c r="AV294" s="23"/>
      <c r="AW294" s="24"/>
      <c r="AX294" s="24"/>
      <c r="AY294" s="25"/>
    </row>
    <row r="295" spans="1:51" s="5" customFormat="1" x14ac:dyDescent="0.2">
      <c r="A295" s="4"/>
      <c r="B295" s="2"/>
      <c r="C295" s="2"/>
      <c r="D295" s="2"/>
      <c r="E295" s="2"/>
      <c r="F295" s="2"/>
      <c r="G295" s="2"/>
      <c r="H295" s="2"/>
      <c r="I295" s="60"/>
      <c r="J295" s="43"/>
      <c r="K295" s="67"/>
      <c r="L295" s="67"/>
      <c r="M295" s="43"/>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3"/>
      <c r="AP295" s="23"/>
      <c r="AQ295" s="23"/>
      <c r="AR295" s="23"/>
      <c r="AS295" s="23"/>
      <c r="AT295" s="23"/>
      <c r="AU295" s="23"/>
      <c r="AV295" s="23"/>
      <c r="AW295" s="24"/>
      <c r="AX295" s="24"/>
      <c r="AY295" s="25"/>
    </row>
    <row r="296" spans="1:51" s="5" customFormat="1" x14ac:dyDescent="0.2">
      <c r="A296" s="4"/>
      <c r="B296" s="2"/>
      <c r="C296" s="2"/>
      <c r="D296" s="2"/>
      <c r="E296" s="2"/>
      <c r="F296" s="2"/>
      <c r="G296" s="2"/>
      <c r="H296" s="2"/>
      <c r="I296" s="60"/>
      <c r="J296" s="43"/>
      <c r="K296" s="67"/>
      <c r="L296" s="67"/>
      <c r="M296" s="43"/>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3"/>
      <c r="AP296" s="23"/>
      <c r="AQ296" s="23"/>
      <c r="AR296" s="23"/>
      <c r="AS296" s="23"/>
      <c r="AT296" s="23"/>
      <c r="AU296" s="23"/>
      <c r="AV296" s="23"/>
      <c r="AW296" s="24"/>
      <c r="AX296" s="24"/>
      <c r="AY296" s="25"/>
    </row>
    <row r="297" spans="1:51" s="5" customFormat="1" x14ac:dyDescent="0.2">
      <c r="A297" s="4"/>
      <c r="B297" s="2"/>
      <c r="C297" s="2"/>
      <c r="D297" s="2"/>
      <c r="E297" s="2"/>
      <c r="F297" s="2"/>
      <c r="G297" s="2"/>
      <c r="H297" s="2"/>
      <c r="I297" s="60"/>
      <c r="J297" s="43"/>
      <c r="K297" s="67"/>
      <c r="L297" s="67"/>
      <c r="M297" s="43"/>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3"/>
      <c r="AP297" s="23"/>
      <c r="AQ297" s="23"/>
      <c r="AR297" s="23"/>
      <c r="AS297" s="23"/>
      <c r="AT297" s="23"/>
      <c r="AU297" s="23"/>
      <c r="AV297" s="23"/>
      <c r="AW297" s="24"/>
      <c r="AX297" s="24"/>
      <c r="AY297" s="25"/>
    </row>
    <row r="298" spans="1:51" s="5" customFormat="1" x14ac:dyDescent="0.2">
      <c r="A298" s="4"/>
      <c r="B298" s="2"/>
      <c r="C298" s="2"/>
      <c r="D298" s="2"/>
      <c r="E298" s="2"/>
      <c r="F298" s="2"/>
      <c r="G298" s="2"/>
      <c r="H298" s="2"/>
      <c r="I298" s="60"/>
      <c r="J298" s="43"/>
      <c r="K298" s="67"/>
      <c r="L298" s="67"/>
      <c r="M298" s="43"/>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3"/>
      <c r="AP298" s="23"/>
      <c r="AQ298" s="23"/>
      <c r="AR298" s="23"/>
      <c r="AS298" s="23"/>
      <c r="AT298" s="23"/>
      <c r="AU298" s="23"/>
      <c r="AV298" s="23"/>
      <c r="AW298" s="24"/>
      <c r="AX298" s="24"/>
      <c r="AY298" s="25"/>
    </row>
    <row r="299" spans="1:51" s="5" customFormat="1" x14ac:dyDescent="0.2">
      <c r="A299" s="4"/>
      <c r="B299" s="2"/>
      <c r="C299" s="2"/>
      <c r="D299" s="2"/>
      <c r="E299" s="2"/>
      <c r="F299" s="2"/>
      <c r="G299" s="2"/>
      <c r="H299" s="2"/>
      <c r="I299" s="60"/>
      <c r="J299" s="43"/>
      <c r="K299" s="67"/>
      <c r="L299" s="67"/>
      <c r="M299" s="43"/>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3"/>
      <c r="AP299" s="23"/>
      <c r="AQ299" s="23"/>
      <c r="AR299" s="23"/>
      <c r="AS299" s="23"/>
      <c r="AT299" s="23"/>
      <c r="AU299" s="23"/>
      <c r="AV299" s="23"/>
      <c r="AW299" s="24"/>
      <c r="AX299" s="24"/>
      <c r="AY299" s="25"/>
    </row>
    <row r="300" spans="1:51" s="5" customFormat="1" x14ac:dyDescent="0.2">
      <c r="A300" s="4"/>
      <c r="B300" s="2"/>
      <c r="C300" s="2"/>
      <c r="D300" s="2"/>
      <c r="E300" s="2"/>
      <c r="F300" s="2"/>
      <c r="G300" s="2"/>
      <c r="H300" s="2"/>
      <c r="I300" s="60"/>
      <c r="J300" s="43"/>
      <c r="K300" s="67"/>
      <c r="L300" s="67"/>
      <c r="M300" s="43"/>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3"/>
      <c r="AP300" s="23"/>
      <c r="AQ300" s="23"/>
      <c r="AR300" s="23"/>
      <c r="AS300" s="23"/>
      <c r="AT300" s="23"/>
      <c r="AU300" s="23"/>
      <c r="AV300" s="23"/>
      <c r="AW300" s="24"/>
      <c r="AX300" s="24"/>
      <c r="AY300" s="25"/>
    </row>
    <row r="301" spans="1:51" s="5" customFormat="1" x14ac:dyDescent="0.2">
      <c r="A301" s="4"/>
      <c r="B301" s="2"/>
      <c r="C301" s="2"/>
      <c r="D301" s="2"/>
      <c r="E301" s="2"/>
      <c r="F301" s="2"/>
      <c r="G301" s="2"/>
      <c r="H301" s="2"/>
      <c r="I301" s="60"/>
      <c r="J301" s="43"/>
      <c r="K301" s="67"/>
      <c r="L301" s="67"/>
      <c r="M301" s="43"/>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3"/>
      <c r="AP301" s="23"/>
      <c r="AQ301" s="23"/>
      <c r="AR301" s="23"/>
      <c r="AS301" s="23"/>
      <c r="AT301" s="23"/>
      <c r="AU301" s="23"/>
      <c r="AV301" s="23"/>
      <c r="AW301" s="24"/>
      <c r="AX301" s="24"/>
      <c r="AY301" s="25"/>
    </row>
    <row r="302" spans="1:51" s="5" customFormat="1" x14ac:dyDescent="0.2">
      <c r="A302" s="4"/>
      <c r="B302" s="2"/>
      <c r="C302" s="2"/>
      <c r="D302" s="2"/>
      <c r="E302" s="2"/>
      <c r="F302" s="2"/>
      <c r="G302" s="2"/>
      <c r="H302" s="2"/>
      <c r="I302" s="60"/>
      <c r="J302" s="43"/>
      <c r="K302" s="67"/>
      <c r="L302" s="67"/>
      <c r="M302" s="43"/>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3"/>
      <c r="AP302" s="23"/>
      <c r="AQ302" s="23"/>
      <c r="AR302" s="23"/>
      <c r="AS302" s="23"/>
      <c r="AT302" s="23"/>
      <c r="AU302" s="23"/>
      <c r="AV302" s="23"/>
      <c r="AW302" s="24"/>
      <c r="AX302" s="24"/>
      <c r="AY302" s="25"/>
    </row>
    <row r="303" spans="1:51" s="5" customFormat="1" x14ac:dyDescent="0.2">
      <c r="A303" s="4"/>
      <c r="B303" s="2"/>
      <c r="C303" s="2"/>
      <c r="D303" s="2"/>
      <c r="E303" s="2"/>
      <c r="F303" s="2"/>
      <c r="G303" s="2"/>
      <c r="H303" s="2"/>
      <c r="I303" s="60"/>
      <c r="J303" s="43"/>
      <c r="K303" s="67"/>
      <c r="L303" s="67"/>
      <c r="M303" s="43"/>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3"/>
      <c r="AP303" s="23"/>
      <c r="AQ303" s="23"/>
      <c r="AR303" s="23"/>
      <c r="AS303" s="23"/>
      <c r="AT303" s="23"/>
      <c r="AU303" s="23"/>
      <c r="AV303" s="23"/>
      <c r="AW303" s="24"/>
      <c r="AX303" s="24"/>
      <c r="AY303" s="25"/>
    </row>
    <row r="304" spans="1:51" s="5" customFormat="1" x14ac:dyDescent="0.2">
      <c r="A304" s="4"/>
      <c r="B304" s="2"/>
      <c r="C304" s="2"/>
      <c r="D304" s="2"/>
      <c r="E304" s="2"/>
      <c r="F304" s="2"/>
      <c r="G304" s="2"/>
      <c r="H304" s="2"/>
      <c r="I304" s="60"/>
      <c r="J304" s="43"/>
      <c r="K304" s="67"/>
      <c r="L304" s="67"/>
      <c r="M304" s="43"/>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3"/>
      <c r="AP304" s="23"/>
      <c r="AQ304" s="23"/>
      <c r="AR304" s="23"/>
      <c r="AS304" s="23"/>
      <c r="AT304" s="23"/>
      <c r="AU304" s="23"/>
      <c r="AV304" s="23"/>
      <c r="AW304" s="24"/>
      <c r="AX304" s="24"/>
      <c r="AY304" s="25"/>
    </row>
    <row r="305" spans="1:51" s="5" customFormat="1" x14ac:dyDescent="0.2">
      <c r="A305" s="4"/>
      <c r="B305" s="2"/>
      <c r="C305" s="2"/>
      <c r="D305" s="2"/>
      <c r="E305" s="2"/>
      <c r="F305" s="2"/>
      <c r="G305" s="2"/>
      <c r="H305" s="2"/>
      <c r="I305" s="60"/>
      <c r="J305" s="43"/>
      <c r="K305" s="67"/>
      <c r="L305" s="67"/>
      <c r="M305" s="43"/>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3"/>
      <c r="AP305" s="23"/>
      <c r="AQ305" s="23"/>
      <c r="AR305" s="23"/>
      <c r="AS305" s="23"/>
      <c r="AT305" s="23"/>
      <c r="AU305" s="23"/>
      <c r="AV305" s="23"/>
      <c r="AW305" s="24"/>
      <c r="AX305" s="24"/>
      <c r="AY305" s="25"/>
    </row>
    <row r="306" spans="1:51" s="5" customFormat="1" x14ac:dyDescent="0.2">
      <c r="A306" s="4"/>
      <c r="B306" s="2"/>
      <c r="C306" s="2"/>
      <c r="D306" s="2"/>
      <c r="E306" s="2"/>
      <c r="F306" s="2"/>
      <c r="G306" s="2"/>
      <c r="H306" s="2"/>
      <c r="I306" s="60"/>
      <c r="J306" s="43"/>
      <c r="K306" s="67"/>
      <c r="L306" s="67"/>
      <c r="M306" s="43"/>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3"/>
      <c r="AP306" s="23"/>
      <c r="AQ306" s="23"/>
      <c r="AR306" s="23"/>
      <c r="AS306" s="23"/>
      <c r="AT306" s="23"/>
      <c r="AU306" s="23"/>
      <c r="AV306" s="23"/>
      <c r="AW306" s="24"/>
      <c r="AX306" s="24"/>
      <c r="AY306" s="25"/>
    </row>
    <row r="307" spans="1:51" s="5" customFormat="1" x14ac:dyDescent="0.2">
      <c r="A307" s="4"/>
      <c r="B307" s="2"/>
      <c r="C307" s="2"/>
      <c r="D307" s="2"/>
      <c r="E307" s="2"/>
      <c r="F307" s="2"/>
      <c r="G307" s="2"/>
      <c r="H307" s="2"/>
      <c r="I307" s="60"/>
      <c r="J307" s="43"/>
      <c r="K307" s="67"/>
      <c r="L307" s="67"/>
      <c r="M307" s="43"/>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3"/>
      <c r="AP307" s="23"/>
      <c r="AQ307" s="23"/>
      <c r="AR307" s="23"/>
      <c r="AS307" s="23"/>
      <c r="AT307" s="23"/>
      <c r="AU307" s="23"/>
      <c r="AV307" s="23"/>
      <c r="AW307" s="24"/>
      <c r="AX307" s="24"/>
      <c r="AY307" s="25"/>
    </row>
    <row r="308" spans="1:51" s="5" customFormat="1" x14ac:dyDescent="0.2">
      <c r="A308" s="4"/>
      <c r="B308" s="2"/>
      <c r="C308" s="2"/>
      <c r="D308" s="2"/>
      <c r="E308" s="2"/>
      <c r="F308" s="2"/>
      <c r="G308" s="2"/>
      <c r="H308" s="2"/>
      <c r="I308" s="60"/>
      <c r="J308" s="43"/>
      <c r="K308" s="67"/>
      <c r="L308" s="67"/>
      <c r="M308" s="43"/>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3"/>
      <c r="AP308" s="23"/>
      <c r="AQ308" s="23"/>
      <c r="AR308" s="23"/>
      <c r="AS308" s="23"/>
      <c r="AT308" s="23"/>
      <c r="AU308" s="23"/>
      <c r="AV308" s="23"/>
      <c r="AW308" s="24"/>
      <c r="AX308" s="24"/>
      <c r="AY308" s="25"/>
    </row>
    <row r="309" spans="1:51" s="5" customFormat="1" x14ac:dyDescent="0.2">
      <c r="A309" s="4"/>
      <c r="B309" s="2"/>
      <c r="C309" s="2"/>
      <c r="D309" s="2"/>
      <c r="E309" s="2"/>
      <c r="F309" s="2"/>
      <c r="G309" s="2"/>
      <c r="H309" s="2"/>
      <c r="I309" s="60"/>
      <c r="J309" s="43"/>
      <c r="K309" s="67"/>
      <c r="L309" s="67"/>
      <c r="M309" s="43"/>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3"/>
      <c r="AP309" s="23"/>
      <c r="AQ309" s="23"/>
      <c r="AR309" s="23"/>
      <c r="AS309" s="23"/>
      <c r="AT309" s="23"/>
      <c r="AU309" s="23"/>
      <c r="AV309" s="23"/>
      <c r="AW309" s="24"/>
      <c r="AX309" s="24"/>
      <c r="AY309" s="25"/>
    </row>
    <row r="310" spans="1:51" s="5" customFormat="1" x14ac:dyDescent="0.2">
      <c r="A310" s="4"/>
      <c r="B310" s="2"/>
      <c r="C310" s="2"/>
      <c r="D310" s="2"/>
      <c r="E310" s="2"/>
      <c r="F310" s="2"/>
      <c r="G310" s="2"/>
      <c r="H310" s="2"/>
      <c r="I310" s="60"/>
      <c r="J310" s="43"/>
      <c r="K310" s="67"/>
      <c r="L310" s="67"/>
      <c r="M310" s="43"/>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3"/>
      <c r="AP310" s="23"/>
      <c r="AQ310" s="23"/>
      <c r="AR310" s="23"/>
      <c r="AS310" s="23"/>
      <c r="AT310" s="23"/>
      <c r="AU310" s="23"/>
      <c r="AV310" s="23"/>
      <c r="AW310" s="24"/>
      <c r="AX310" s="24"/>
      <c r="AY310" s="25"/>
    </row>
    <row r="311" spans="1:51" x14ac:dyDescent="0.2">
      <c r="I311" s="60"/>
    </row>
    <row r="312" spans="1:51" x14ac:dyDescent="0.2">
      <c r="I312" s="60"/>
    </row>
    <row r="313" spans="1:51" x14ac:dyDescent="0.2">
      <c r="I313" s="60"/>
    </row>
    <row r="314" spans="1:51" x14ac:dyDescent="0.2">
      <c r="I314" s="60"/>
    </row>
    <row r="315" spans="1:51" x14ac:dyDescent="0.2">
      <c r="I315" s="60"/>
    </row>
    <row r="316" spans="1:51" x14ac:dyDescent="0.2">
      <c r="I316" s="60"/>
    </row>
    <row r="317" spans="1:51" x14ac:dyDescent="0.2">
      <c r="I317" s="60"/>
    </row>
    <row r="318" spans="1:51" x14ac:dyDescent="0.2">
      <c r="I318" s="60"/>
    </row>
    <row r="319" spans="1:51" x14ac:dyDescent="0.2">
      <c r="I319" s="60"/>
    </row>
    <row r="320" spans="1:51" x14ac:dyDescent="0.2">
      <c r="I320" s="60"/>
    </row>
    <row r="321" spans="9:9" x14ac:dyDescent="0.2">
      <c r="I321" s="60"/>
    </row>
    <row r="322" spans="9:9" x14ac:dyDescent="0.2">
      <c r="I322" s="60"/>
    </row>
    <row r="323" spans="9:9" x14ac:dyDescent="0.2">
      <c r="I323" s="60"/>
    </row>
    <row r="324" spans="9:9" x14ac:dyDescent="0.2">
      <c r="I324" s="60"/>
    </row>
    <row r="325" spans="9:9" x14ac:dyDescent="0.2">
      <c r="I325" s="60"/>
    </row>
    <row r="326" spans="9:9" x14ac:dyDescent="0.2">
      <c r="I326" s="60"/>
    </row>
    <row r="327" spans="9:9" x14ac:dyDescent="0.2">
      <c r="I327" s="60"/>
    </row>
    <row r="328" spans="9:9" x14ac:dyDescent="0.2">
      <c r="I328" s="60"/>
    </row>
    <row r="329" spans="9:9" x14ac:dyDescent="0.2">
      <c r="I329" s="60"/>
    </row>
    <row r="330" spans="9:9" x14ac:dyDescent="0.2">
      <c r="I330" s="60"/>
    </row>
    <row r="331" spans="9:9" x14ac:dyDescent="0.2">
      <c r="I331" s="60"/>
    </row>
    <row r="332" spans="9:9" x14ac:dyDescent="0.2">
      <c r="I332" s="60"/>
    </row>
    <row r="333" spans="9:9" x14ac:dyDescent="0.2">
      <c r="I333" s="60"/>
    </row>
    <row r="334" spans="9:9" x14ac:dyDescent="0.2">
      <c r="I334" s="60"/>
    </row>
    <row r="335" spans="9:9" x14ac:dyDescent="0.2">
      <c r="I335" s="60"/>
    </row>
    <row r="336" spans="9:9" x14ac:dyDescent="0.2">
      <c r="I336" s="60"/>
    </row>
    <row r="337" spans="9:9" x14ac:dyDescent="0.2">
      <c r="I337" s="60"/>
    </row>
    <row r="338" spans="9:9" x14ac:dyDescent="0.2">
      <c r="I338" s="60"/>
    </row>
    <row r="339" spans="9:9" x14ac:dyDescent="0.2">
      <c r="I339" s="60"/>
    </row>
    <row r="340" spans="9:9" x14ac:dyDescent="0.2">
      <c r="I340" s="60"/>
    </row>
    <row r="341" spans="9:9" x14ac:dyDescent="0.2">
      <c r="I341" s="60"/>
    </row>
    <row r="342" spans="9:9" x14ac:dyDescent="0.2">
      <c r="I342" s="60"/>
    </row>
    <row r="343" spans="9:9" x14ac:dyDescent="0.2">
      <c r="I343" s="60"/>
    </row>
    <row r="344" spans="9:9" x14ac:dyDescent="0.2">
      <c r="I344" s="60"/>
    </row>
    <row r="345" spans="9:9" x14ac:dyDescent="0.2">
      <c r="I345" s="60"/>
    </row>
    <row r="346" spans="9:9" x14ac:dyDescent="0.2">
      <c r="I346" s="60"/>
    </row>
    <row r="347" spans="9:9" x14ac:dyDescent="0.2">
      <c r="I347" s="60"/>
    </row>
    <row r="348" spans="9:9" x14ac:dyDescent="0.2">
      <c r="I348" s="60"/>
    </row>
    <row r="349" spans="9:9" x14ac:dyDescent="0.2">
      <c r="I349" s="60"/>
    </row>
    <row r="350" spans="9:9" x14ac:dyDescent="0.2">
      <c r="I350" s="60"/>
    </row>
    <row r="351" spans="9:9" x14ac:dyDescent="0.2">
      <c r="I351" s="60"/>
    </row>
    <row r="352" spans="9:9" x14ac:dyDescent="0.2">
      <c r="I352" s="60"/>
    </row>
    <row r="353" spans="9:9" x14ac:dyDescent="0.2">
      <c r="I353" s="60"/>
    </row>
    <row r="354" spans="9:9" x14ac:dyDescent="0.2">
      <c r="I354" s="60"/>
    </row>
    <row r="355" spans="9:9" x14ac:dyDescent="0.2">
      <c r="I355" s="60"/>
    </row>
    <row r="356" spans="9:9" x14ac:dyDescent="0.2">
      <c r="I356" s="60"/>
    </row>
    <row r="357" spans="9:9" x14ac:dyDescent="0.2">
      <c r="I357" s="60"/>
    </row>
    <row r="358" spans="9:9" x14ac:dyDescent="0.2">
      <c r="I358" s="60"/>
    </row>
    <row r="359" spans="9:9" x14ac:dyDescent="0.2">
      <c r="I359" s="60"/>
    </row>
    <row r="360" spans="9:9" x14ac:dyDescent="0.2">
      <c r="I360" s="60"/>
    </row>
    <row r="361" spans="9:9" x14ac:dyDescent="0.2">
      <c r="I361" s="60"/>
    </row>
    <row r="362" spans="9:9" x14ac:dyDescent="0.2">
      <c r="I362" s="60"/>
    </row>
    <row r="363" spans="9:9" x14ac:dyDescent="0.2">
      <c r="I363" s="60"/>
    </row>
    <row r="364" spans="9:9" x14ac:dyDescent="0.2">
      <c r="I364" s="60"/>
    </row>
    <row r="365" spans="9:9" x14ac:dyDescent="0.2">
      <c r="I365" s="60"/>
    </row>
    <row r="366" spans="9:9" x14ac:dyDescent="0.2">
      <c r="I366" s="60"/>
    </row>
    <row r="367" spans="9:9" x14ac:dyDescent="0.2">
      <c r="I367" s="60"/>
    </row>
    <row r="368" spans="9:9" x14ac:dyDescent="0.2">
      <c r="I368" s="60"/>
    </row>
    <row r="369" spans="9:9" x14ac:dyDescent="0.2">
      <c r="I369" s="60"/>
    </row>
    <row r="370" spans="9:9" x14ac:dyDescent="0.2">
      <c r="I370" s="60"/>
    </row>
    <row r="371" spans="9:9" x14ac:dyDescent="0.2">
      <c r="I371" s="60"/>
    </row>
    <row r="372" spans="9:9" x14ac:dyDescent="0.2">
      <c r="I372" s="60"/>
    </row>
    <row r="373" spans="9:9" x14ac:dyDescent="0.2">
      <c r="I373" s="60"/>
    </row>
    <row r="374" spans="9:9" x14ac:dyDescent="0.2">
      <c r="I374" s="60"/>
    </row>
    <row r="375" spans="9:9" x14ac:dyDescent="0.2">
      <c r="I375" s="60"/>
    </row>
    <row r="376" spans="9:9" x14ac:dyDescent="0.2">
      <c r="I376" s="60"/>
    </row>
    <row r="377" spans="9:9" x14ac:dyDescent="0.2">
      <c r="I377" s="60"/>
    </row>
    <row r="378" spans="9:9" x14ac:dyDescent="0.2">
      <c r="I378" s="60"/>
    </row>
    <row r="379" spans="9:9" x14ac:dyDescent="0.2">
      <c r="I379" s="60"/>
    </row>
    <row r="380" spans="9:9" x14ac:dyDescent="0.2">
      <c r="I380" s="60"/>
    </row>
    <row r="381" spans="9:9" x14ac:dyDescent="0.2">
      <c r="I381" s="60"/>
    </row>
    <row r="382" spans="9:9" x14ac:dyDescent="0.2">
      <c r="I382" s="60"/>
    </row>
    <row r="383" spans="9:9" x14ac:dyDescent="0.2">
      <c r="I383" s="60"/>
    </row>
    <row r="384" spans="9:9" x14ac:dyDescent="0.2">
      <c r="I384" s="60"/>
    </row>
    <row r="385" spans="9:9" x14ac:dyDescent="0.2">
      <c r="I385" s="60"/>
    </row>
    <row r="386" spans="9:9" x14ac:dyDescent="0.2">
      <c r="I386" s="60"/>
    </row>
    <row r="387" spans="9:9" x14ac:dyDescent="0.2">
      <c r="I387" s="60"/>
    </row>
    <row r="388" spans="9:9" x14ac:dyDescent="0.2">
      <c r="I388" s="60"/>
    </row>
    <row r="389" spans="9:9" x14ac:dyDescent="0.2">
      <c r="I389" s="60"/>
    </row>
    <row r="390" spans="9:9" x14ac:dyDescent="0.2">
      <c r="I390" s="60"/>
    </row>
    <row r="391" spans="9:9" x14ac:dyDescent="0.2">
      <c r="I391" s="60"/>
    </row>
    <row r="392" spans="9:9" x14ac:dyDescent="0.2">
      <c r="I392" s="60"/>
    </row>
    <row r="393" spans="9:9" x14ac:dyDescent="0.2">
      <c r="I393" s="60"/>
    </row>
    <row r="394" spans="9:9" x14ac:dyDescent="0.2">
      <c r="I394" s="60"/>
    </row>
    <row r="395" spans="9:9" x14ac:dyDescent="0.2">
      <c r="I395" s="60"/>
    </row>
    <row r="396" spans="9:9" x14ac:dyDescent="0.2">
      <c r="I396" s="60"/>
    </row>
    <row r="397" spans="9:9" x14ac:dyDescent="0.2">
      <c r="I397" s="60"/>
    </row>
    <row r="398" spans="9:9" x14ac:dyDescent="0.2">
      <c r="I398" s="60"/>
    </row>
    <row r="399" spans="9:9" x14ac:dyDescent="0.2">
      <c r="I399" s="60"/>
    </row>
    <row r="400" spans="9:9" x14ac:dyDescent="0.2">
      <c r="I400" s="60"/>
    </row>
    <row r="401" spans="9:9" x14ac:dyDescent="0.2">
      <c r="I401" s="60"/>
    </row>
    <row r="402" spans="9:9" x14ac:dyDescent="0.2">
      <c r="I402" s="60"/>
    </row>
    <row r="403" spans="9:9" x14ac:dyDescent="0.2">
      <c r="I403" s="60"/>
    </row>
    <row r="404" spans="9:9" x14ac:dyDescent="0.2">
      <c r="I404" s="60"/>
    </row>
    <row r="405" spans="9:9" x14ac:dyDescent="0.2">
      <c r="I405" s="60"/>
    </row>
    <row r="406" spans="9:9" x14ac:dyDescent="0.2">
      <c r="I406" s="60"/>
    </row>
    <row r="407" spans="9:9" x14ac:dyDescent="0.2">
      <c r="I407" s="60"/>
    </row>
    <row r="408" spans="9:9" x14ac:dyDescent="0.2">
      <c r="I408" s="60"/>
    </row>
    <row r="409" spans="9:9" x14ac:dyDescent="0.2">
      <c r="I409" s="60"/>
    </row>
    <row r="410" spans="9:9" x14ac:dyDescent="0.2">
      <c r="I410" s="60"/>
    </row>
    <row r="411" spans="9:9" x14ac:dyDescent="0.2">
      <c r="I411" s="60"/>
    </row>
    <row r="412" spans="9:9" x14ac:dyDescent="0.2">
      <c r="I412" s="60"/>
    </row>
    <row r="413" spans="9:9" x14ac:dyDescent="0.2">
      <c r="I413" s="60"/>
    </row>
    <row r="414" spans="9:9" x14ac:dyDescent="0.2">
      <c r="I414" s="60"/>
    </row>
    <row r="415" spans="9:9" x14ac:dyDescent="0.2">
      <c r="I415" s="60"/>
    </row>
    <row r="416" spans="9:9" x14ac:dyDescent="0.2">
      <c r="I416" s="60"/>
    </row>
    <row r="417" spans="9:9" x14ac:dyDescent="0.2">
      <c r="I417" s="60"/>
    </row>
    <row r="418" spans="9:9" x14ac:dyDescent="0.2">
      <c r="I418" s="60"/>
    </row>
    <row r="419" spans="9:9" x14ac:dyDescent="0.2">
      <c r="I419" s="60"/>
    </row>
    <row r="420" spans="9:9" x14ac:dyDescent="0.2">
      <c r="I420" s="60"/>
    </row>
    <row r="421" spans="9:9" x14ac:dyDescent="0.2">
      <c r="I421" s="60"/>
    </row>
    <row r="422" spans="9:9" x14ac:dyDescent="0.2">
      <c r="I422" s="60"/>
    </row>
    <row r="423" spans="9:9" x14ac:dyDescent="0.2">
      <c r="I423" s="60"/>
    </row>
    <row r="424" spans="9:9" x14ac:dyDescent="0.2">
      <c r="I424" s="60"/>
    </row>
    <row r="425" spans="9:9" x14ac:dyDescent="0.2">
      <c r="I425" s="60"/>
    </row>
    <row r="426" spans="9:9" x14ac:dyDescent="0.2">
      <c r="I426" s="60"/>
    </row>
    <row r="427" spans="9:9" x14ac:dyDescent="0.2">
      <c r="I427" s="60"/>
    </row>
    <row r="428" spans="9:9" x14ac:dyDescent="0.2">
      <c r="I428" s="60"/>
    </row>
    <row r="429" spans="9:9" x14ac:dyDescent="0.2">
      <c r="I429" s="60"/>
    </row>
    <row r="430" spans="9:9" x14ac:dyDescent="0.2">
      <c r="I430" s="60"/>
    </row>
    <row r="431" spans="9:9" x14ac:dyDescent="0.2">
      <c r="I431" s="60"/>
    </row>
    <row r="432" spans="9:9" x14ac:dyDescent="0.2">
      <c r="I432" s="60"/>
    </row>
    <row r="433" spans="9:9" x14ac:dyDescent="0.2">
      <c r="I433" s="60"/>
    </row>
    <row r="434" spans="9:9" x14ac:dyDescent="0.2">
      <c r="I434" s="60"/>
    </row>
    <row r="435" spans="9:9" x14ac:dyDescent="0.2">
      <c r="I435" s="60"/>
    </row>
    <row r="436" spans="9:9" x14ac:dyDescent="0.2">
      <c r="I436" s="60"/>
    </row>
    <row r="437" spans="9:9" x14ac:dyDescent="0.2">
      <c r="I437" s="60"/>
    </row>
    <row r="438" spans="9:9" x14ac:dyDescent="0.2">
      <c r="I438" s="60"/>
    </row>
    <row r="439" spans="9:9" x14ac:dyDescent="0.2">
      <c r="I439" s="60"/>
    </row>
    <row r="440" spans="9:9" x14ac:dyDescent="0.2">
      <c r="I440" s="60"/>
    </row>
    <row r="441" spans="9:9" x14ac:dyDescent="0.2">
      <c r="I441" s="60"/>
    </row>
    <row r="442" spans="9:9" x14ac:dyDescent="0.2">
      <c r="I442" s="60"/>
    </row>
    <row r="443" spans="9:9" x14ac:dyDescent="0.2">
      <c r="I443" s="60"/>
    </row>
    <row r="444" spans="9:9" x14ac:dyDescent="0.2">
      <c r="I444" s="60"/>
    </row>
    <row r="445" spans="9:9" x14ac:dyDescent="0.2">
      <c r="I445" s="60"/>
    </row>
    <row r="446" spans="9:9" x14ac:dyDescent="0.2">
      <c r="I446" s="60"/>
    </row>
    <row r="447" spans="9:9" x14ac:dyDescent="0.2">
      <c r="I447" s="60"/>
    </row>
    <row r="448" spans="9:9" x14ac:dyDescent="0.2">
      <c r="I448" s="60"/>
    </row>
    <row r="449" spans="9:9" x14ac:dyDescent="0.2">
      <c r="I449" s="60"/>
    </row>
    <row r="450" spans="9:9" x14ac:dyDescent="0.2">
      <c r="I450" s="60"/>
    </row>
    <row r="451" spans="9:9" x14ac:dyDescent="0.2">
      <c r="I451" s="60"/>
    </row>
    <row r="452" spans="9:9" x14ac:dyDescent="0.2">
      <c r="I452" s="60"/>
    </row>
    <row r="453" spans="9:9" x14ac:dyDescent="0.2">
      <c r="I453" s="60"/>
    </row>
    <row r="454" spans="9:9" x14ac:dyDescent="0.2">
      <c r="I454" s="60"/>
    </row>
    <row r="455" spans="9:9" x14ac:dyDescent="0.2">
      <c r="I455" s="60"/>
    </row>
    <row r="456" spans="9:9" x14ac:dyDescent="0.2">
      <c r="I456" s="60"/>
    </row>
    <row r="457" spans="9:9" x14ac:dyDescent="0.2">
      <c r="I457" s="60"/>
    </row>
    <row r="458" spans="9:9" x14ac:dyDescent="0.2">
      <c r="I458" s="60"/>
    </row>
    <row r="459" spans="9:9" x14ac:dyDescent="0.2">
      <c r="I459" s="60"/>
    </row>
    <row r="460" spans="9:9" x14ac:dyDescent="0.2">
      <c r="I460" s="60"/>
    </row>
    <row r="461" spans="9:9" x14ac:dyDescent="0.2">
      <c r="I461" s="60"/>
    </row>
    <row r="462" spans="9:9" x14ac:dyDescent="0.2">
      <c r="I462" s="60"/>
    </row>
    <row r="463" spans="9:9" x14ac:dyDescent="0.2">
      <c r="I463" s="60"/>
    </row>
    <row r="464" spans="9:9" x14ac:dyDescent="0.2">
      <c r="I464" s="60"/>
    </row>
    <row r="465" spans="9:9" x14ac:dyDescent="0.2">
      <c r="I465" s="60"/>
    </row>
    <row r="466" spans="9:9" x14ac:dyDescent="0.2">
      <c r="I466" s="60"/>
    </row>
    <row r="467" spans="9:9" x14ac:dyDescent="0.2">
      <c r="I467" s="60"/>
    </row>
    <row r="468" spans="9:9" x14ac:dyDescent="0.2">
      <c r="I468" s="60"/>
    </row>
    <row r="469" spans="9:9" x14ac:dyDescent="0.2">
      <c r="I469" s="60"/>
    </row>
    <row r="470" spans="9:9" x14ac:dyDescent="0.2">
      <c r="I470" s="60"/>
    </row>
    <row r="471" spans="9:9" x14ac:dyDescent="0.2">
      <c r="I471" s="60"/>
    </row>
    <row r="472" spans="9:9" x14ac:dyDescent="0.2">
      <c r="I472" s="60"/>
    </row>
    <row r="473" spans="9:9" x14ac:dyDescent="0.2">
      <c r="I473" s="60"/>
    </row>
    <row r="474" spans="9:9" x14ac:dyDescent="0.2">
      <c r="I474" s="60"/>
    </row>
    <row r="475" spans="9:9" x14ac:dyDescent="0.2">
      <c r="I475" s="60"/>
    </row>
    <row r="476" spans="9:9" x14ac:dyDescent="0.2">
      <c r="I476" s="60"/>
    </row>
    <row r="477" spans="9:9" x14ac:dyDescent="0.2">
      <c r="I477" s="60"/>
    </row>
    <row r="478" spans="9:9" x14ac:dyDescent="0.2">
      <c r="I478" s="60"/>
    </row>
    <row r="479" spans="9:9" x14ac:dyDescent="0.2">
      <c r="I479" s="60"/>
    </row>
    <row r="480" spans="9:9" x14ac:dyDescent="0.2">
      <c r="I480" s="60"/>
    </row>
    <row r="481" spans="9:9" x14ac:dyDescent="0.2">
      <c r="I481" s="60"/>
    </row>
    <row r="482" spans="9:9" x14ac:dyDescent="0.2">
      <c r="I482" s="60"/>
    </row>
    <row r="483" spans="9:9" x14ac:dyDescent="0.2">
      <c r="I483" s="60"/>
    </row>
    <row r="484" spans="9:9" x14ac:dyDescent="0.2">
      <c r="I484" s="60"/>
    </row>
    <row r="485" spans="9:9" x14ac:dyDescent="0.2">
      <c r="I485" s="60"/>
    </row>
    <row r="486" spans="9:9" x14ac:dyDescent="0.2">
      <c r="I486" s="60"/>
    </row>
    <row r="487" spans="9:9" x14ac:dyDescent="0.2">
      <c r="I487" s="60"/>
    </row>
    <row r="488" spans="9:9" x14ac:dyDescent="0.2">
      <c r="I488" s="60"/>
    </row>
    <row r="489" spans="9:9" x14ac:dyDescent="0.2">
      <c r="I489" s="60"/>
    </row>
    <row r="490" spans="9:9" x14ac:dyDescent="0.2">
      <c r="I490" s="60"/>
    </row>
    <row r="491" spans="9:9" x14ac:dyDescent="0.2">
      <c r="I491" s="60"/>
    </row>
    <row r="492" spans="9:9" x14ac:dyDescent="0.2">
      <c r="I492" s="60"/>
    </row>
    <row r="493" spans="9:9" x14ac:dyDescent="0.2">
      <c r="I493" s="60"/>
    </row>
    <row r="494" spans="9:9" x14ac:dyDescent="0.2">
      <c r="I494" s="60"/>
    </row>
    <row r="495" spans="9:9" x14ac:dyDescent="0.2">
      <c r="I495" s="60"/>
    </row>
    <row r="496" spans="9:9" x14ac:dyDescent="0.2">
      <c r="I496" s="60"/>
    </row>
    <row r="497" spans="9:9" x14ac:dyDescent="0.2">
      <c r="I497" s="60"/>
    </row>
    <row r="498" spans="9:9" x14ac:dyDescent="0.2">
      <c r="I498" s="60"/>
    </row>
    <row r="499" spans="9:9" x14ac:dyDescent="0.2">
      <c r="I499" s="60"/>
    </row>
    <row r="500" spans="9:9" x14ac:dyDescent="0.2">
      <c r="I500" s="60"/>
    </row>
    <row r="501" spans="9:9" x14ac:dyDescent="0.2">
      <c r="I501" s="60"/>
    </row>
    <row r="502" spans="9:9" x14ac:dyDescent="0.2">
      <c r="I502" s="60"/>
    </row>
    <row r="503" spans="9:9" x14ac:dyDescent="0.2">
      <c r="I503" s="60"/>
    </row>
    <row r="504" spans="9:9" x14ac:dyDescent="0.2">
      <c r="I504" s="60"/>
    </row>
    <row r="505" spans="9:9" x14ac:dyDescent="0.2">
      <c r="I505" s="60"/>
    </row>
    <row r="506" spans="9:9" x14ac:dyDescent="0.2">
      <c r="I506" s="60"/>
    </row>
    <row r="507" spans="9:9" x14ac:dyDescent="0.2">
      <c r="I507" s="60"/>
    </row>
    <row r="508" spans="9:9" x14ac:dyDescent="0.2">
      <c r="I508" s="60"/>
    </row>
    <row r="509" spans="9:9" x14ac:dyDescent="0.2">
      <c r="I509" s="60"/>
    </row>
    <row r="510" spans="9:9" x14ac:dyDescent="0.2">
      <c r="I510" s="60"/>
    </row>
    <row r="511" spans="9:9" x14ac:dyDescent="0.2">
      <c r="I511" s="60"/>
    </row>
    <row r="512" spans="9:9" x14ac:dyDescent="0.2">
      <c r="I512" s="60"/>
    </row>
    <row r="513" spans="9:9" x14ac:dyDescent="0.2">
      <c r="I513" s="60"/>
    </row>
    <row r="514" spans="9:9" x14ac:dyDescent="0.2">
      <c r="I514" s="60"/>
    </row>
    <row r="515" spans="9:9" x14ac:dyDescent="0.2">
      <c r="I515" s="60"/>
    </row>
    <row r="516" spans="9:9" x14ac:dyDescent="0.2">
      <c r="I516" s="60"/>
    </row>
    <row r="517" spans="9:9" x14ac:dyDescent="0.2">
      <c r="I517" s="60"/>
    </row>
    <row r="518" spans="9:9" x14ac:dyDescent="0.2">
      <c r="I518" s="60"/>
    </row>
    <row r="519" spans="9:9" x14ac:dyDescent="0.2">
      <c r="I519" s="60"/>
    </row>
    <row r="520" spans="9:9" x14ac:dyDescent="0.2">
      <c r="I520" s="60"/>
    </row>
    <row r="521" spans="9:9" x14ac:dyDescent="0.2">
      <c r="I521" s="60"/>
    </row>
    <row r="522" spans="9:9" x14ac:dyDescent="0.2">
      <c r="I522" s="60"/>
    </row>
    <row r="523" spans="9:9" x14ac:dyDescent="0.2">
      <c r="I523" s="60"/>
    </row>
    <row r="524" spans="9:9" x14ac:dyDescent="0.2">
      <c r="I524" s="60"/>
    </row>
    <row r="525" spans="9:9" x14ac:dyDescent="0.2">
      <c r="I525" s="60"/>
    </row>
    <row r="526" spans="9:9" x14ac:dyDescent="0.2">
      <c r="I526" s="60"/>
    </row>
    <row r="527" spans="9:9" x14ac:dyDescent="0.2">
      <c r="I527" s="60"/>
    </row>
    <row r="528" spans="9:9" x14ac:dyDescent="0.2">
      <c r="I528" s="60"/>
    </row>
    <row r="529" spans="9:9" x14ac:dyDescent="0.2">
      <c r="I529" s="60"/>
    </row>
    <row r="530" spans="9:9" x14ac:dyDescent="0.2">
      <c r="I530" s="60"/>
    </row>
    <row r="531" spans="9:9" x14ac:dyDescent="0.2">
      <c r="I531" s="60"/>
    </row>
    <row r="532" spans="9:9" x14ac:dyDescent="0.2">
      <c r="I532" s="60"/>
    </row>
    <row r="533" spans="9:9" x14ac:dyDescent="0.2">
      <c r="I533" s="60"/>
    </row>
    <row r="534" spans="9:9" x14ac:dyDescent="0.2">
      <c r="I534" s="60"/>
    </row>
    <row r="535" spans="9:9" x14ac:dyDescent="0.2">
      <c r="I535" s="60"/>
    </row>
    <row r="536" spans="9:9" x14ac:dyDescent="0.2">
      <c r="I536" s="60"/>
    </row>
    <row r="537" spans="9:9" x14ac:dyDescent="0.2">
      <c r="I537" s="60"/>
    </row>
    <row r="538" spans="9:9" x14ac:dyDescent="0.2">
      <c r="I538" s="60"/>
    </row>
    <row r="539" spans="9:9" x14ac:dyDescent="0.2">
      <c r="I539" s="60"/>
    </row>
    <row r="540" spans="9:9" x14ac:dyDescent="0.2">
      <c r="I540" s="60"/>
    </row>
    <row r="541" spans="9:9" x14ac:dyDescent="0.2">
      <c r="I541" s="60"/>
    </row>
    <row r="542" spans="9:9" x14ac:dyDescent="0.2">
      <c r="I542" s="60"/>
    </row>
    <row r="543" spans="9:9" x14ac:dyDescent="0.2">
      <c r="I543" s="60"/>
    </row>
    <row r="544" spans="9:9" x14ac:dyDescent="0.2">
      <c r="I544" s="60"/>
    </row>
    <row r="545" spans="9:9" x14ac:dyDescent="0.2">
      <c r="I545" s="60"/>
    </row>
    <row r="546" spans="9:9" x14ac:dyDescent="0.2">
      <c r="I546" s="60"/>
    </row>
    <row r="547" spans="9:9" x14ac:dyDescent="0.2">
      <c r="I547" s="60"/>
    </row>
    <row r="548" spans="9:9" x14ac:dyDescent="0.2">
      <c r="I548" s="60"/>
    </row>
    <row r="549" spans="9:9" x14ac:dyDescent="0.2">
      <c r="I549" s="60"/>
    </row>
    <row r="550" spans="9:9" x14ac:dyDescent="0.2">
      <c r="I550" s="60"/>
    </row>
    <row r="551" spans="9:9" x14ac:dyDescent="0.2">
      <c r="I551" s="60"/>
    </row>
    <row r="552" spans="9:9" x14ac:dyDescent="0.2">
      <c r="I552" s="60"/>
    </row>
    <row r="553" spans="9:9" x14ac:dyDescent="0.2">
      <c r="I553" s="60"/>
    </row>
    <row r="554" spans="9:9" x14ac:dyDescent="0.2">
      <c r="I554" s="60"/>
    </row>
    <row r="555" spans="9:9" x14ac:dyDescent="0.2">
      <c r="I555" s="60"/>
    </row>
    <row r="556" spans="9:9" x14ac:dyDescent="0.2">
      <c r="I556" s="60"/>
    </row>
    <row r="557" spans="9:9" x14ac:dyDescent="0.2">
      <c r="I557" s="60"/>
    </row>
    <row r="558" spans="9:9" x14ac:dyDescent="0.2">
      <c r="I558" s="60"/>
    </row>
    <row r="559" spans="9:9" x14ac:dyDescent="0.2">
      <c r="I559" s="60"/>
    </row>
    <row r="560" spans="9:9" x14ac:dyDescent="0.2">
      <c r="I560" s="60"/>
    </row>
    <row r="561" spans="9:9" x14ac:dyDescent="0.2">
      <c r="I561" s="60"/>
    </row>
    <row r="562" spans="9:9" x14ac:dyDescent="0.2">
      <c r="I562" s="60"/>
    </row>
    <row r="563" spans="9:9" x14ac:dyDescent="0.2">
      <c r="I563" s="60"/>
    </row>
    <row r="564" spans="9:9" x14ac:dyDescent="0.2">
      <c r="I564" s="60"/>
    </row>
    <row r="565" spans="9:9" x14ac:dyDescent="0.2">
      <c r="I565" s="60"/>
    </row>
    <row r="566" spans="9:9" x14ac:dyDescent="0.2">
      <c r="I566" s="60"/>
    </row>
    <row r="567" spans="9:9" x14ac:dyDescent="0.2">
      <c r="I567" s="60"/>
    </row>
    <row r="568" spans="9:9" x14ac:dyDescent="0.2">
      <c r="I568" s="60"/>
    </row>
    <row r="569" spans="9:9" x14ac:dyDescent="0.2">
      <c r="I569" s="60"/>
    </row>
    <row r="570" spans="9:9" x14ac:dyDescent="0.2">
      <c r="I570" s="60"/>
    </row>
    <row r="571" spans="9:9" x14ac:dyDescent="0.2">
      <c r="I571" s="60"/>
    </row>
    <row r="572" spans="9:9" x14ac:dyDescent="0.2">
      <c r="I572" s="60"/>
    </row>
    <row r="573" spans="9:9" x14ac:dyDescent="0.2">
      <c r="I573" s="60"/>
    </row>
    <row r="574" spans="9:9" x14ac:dyDescent="0.2">
      <c r="I574" s="60"/>
    </row>
    <row r="575" spans="9:9" x14ac:dyDescent="0.2">
      <c r="I575" s="60"/>
    </row>
    <row r="576" spans="9:9" x14ac:dyDescent="0.2">
      <c r="I576" s="60"/>
    </row>
    <row r="577" spans="9:9" x14ac:dyDescent="0.2">
      <c r="I577" s="60"/>
    </row>
    <row r="578" spans="9:9" x14ac:dyDescent="0.2">
      <c r="I578" s="60"/>
    </row>
    <row r="579" spans="9:9" x14ac:dyDescent="0.2">
      <c r="I579" s="60"/>
    </row>
    <row r="580" spans="9:9" x14ac:dyDescent="0.2">
      <c r="I580" s="60"/>
    </row>
    <row r="581" spans="9:9" x14ac:dyDescent="0.2">
      <c r="I581" s="60"/>
    </row>
    <row r="582" spans="9:9" x14ac:dyDescent="0.2">
      <c r="I582" s="60"/>
    </row>
    <row r="583" spans="9:9" x14ac:dyDescent="0.2">
      <c r="I583" s="60"/>
    </row>
    <row r="584" spans="9:9" x14ac:dyDescent="0.2">
      <c r="I584" s="60"/>
    </row>
    <row r="585" spans="9:9" x14ac:dyDescent="0.2">
      <c r="I585" s="60"/>
    </row>
    <row r="586" spans="9:9" x14ac:dyDescent="0.2">
      <c r="I586" s="60"/>
    </row>
    <row r="587" spans="9:9" x14ac:dyDescent="0.2">
      <c r="I587" s="60"/>
    </row>
    <row r="588" spans="9:9" x14ac:dyDescent="0.2">
      <c r="I588" s="60"/>
    </row>
    <row r="589" spans="9:9" x14ac:dyDescent="0.2">
      <c r="I589" s="60"/>
    </row>
    <row r="590" spans="9:9" x14ac:dyDescent="0.2">
      <c r="I590" s="60"/>
    </row>
    <row r="591" spans="9:9" x14ac:dyDescent="0.2">
      <c r="I591" s="60"/>
    </row>
    <row r="592" spans="9:9" x14ac:dyDescent="0.2">
      <c r="I592" s="60"/>
    </row>
    <row r="593" spans="9:9" x14ac:dyDescent="0.2">
      <c r="I593" s="60"/>
    </row>
    <row r="594" spans="9:9" x14ac:dyDescent="0.2">
      <c r="I594" s="60"/>
    </row>
    <row r="595" spans="9:9" x14ac:dyDescent="0.2">
      <c r="I595" s="60"/>
    </row>
    <row r="596" spans="9:9" x14ac:dyDescent="0.2">
      <c r="I596" s="60"/>
    </row>
    <row r="597" spans="9:9" x14ac:dyDescent="0.2">
      <c r="I597" s="60"/>
    </row>
    <row r="598" spans="9:9" x14ac:dyDescent="0.2">
      <c r="I598" s="60"/>
    </row>
    <row r="599" spans="9:9" x14ac:dyDescent="0.2">
      <c r="I599" s="60"/>
    </row>
    <row r="600" spans="9:9" x14ac:dyDescent="0.2">
      <c r="I600" s="60"/>
    </row>
    <row r="601" spans="9:9" x14ac:dyDescent="0.2">
      <c r="I601" s="60"/>
    </row>
    <row r="602" spans="9:9" x14ac:dyDescent="0.2">
      <c r="I602" s="60"/>
    </row>
    <row r="603" spans="9:9" x14ac:dyDescent="0.2">
      <c r="I603" s="60"/>
    </row>
    <row r="604" spans="9:9" x14ac:dyDescent="0.2">
      <c r="I604" s="60"/>
    </row>
    <row r="605" spans="9:9" x14ac:dyDescent="0.2">
      <c r="I605" s="60"/>
    </row>
    <row r="606" spans="9:9" x14ac:dyDescent="0.2">
      <c r="I606" s="60"/>
    </row>
    <row r="607" spans="9:9" x14ac:dyDescent="0.2">
      <c r="I607" s="60"/>
    </row>
    <row r="608" spans="9:9" x14ac:dyDescent="0.2">
      <c r="I608" s="60"/>
    </row>
    <row r="609" spans="9:9" x14ac:dyDescent="0.2">
      <c r="I609" s="60"/>
    </row>
    <row r="610" spans="9:9" x14ac:dyDescent="0.2">
      <c r="I610" s="60"/>
    </row>
    <row r="611" spans="9:9" x14ac:dyDescent="0.2">
      <c r="I611" s="60"/>
    </row>
    <row r="612" spans="9:9" x14ac:dyDescent="0.2">
      <c r="I612" s="60"/>
    </row>
    <row r="613" spans="9:9" x14ac:dyDescent="0.2">
      <c r="I613" s="60"/>
    </row>
    <row r="614" spans="9:9" x14ac:dyDescent="0.2">
      <c r="I614" s="60"/>
    </row>
    <row r="615" spans="9:9" x14ac:dyDescent="0.2">
      <c r="I615" s="60"/>
    </row>
    <row r="616" spans="9:9" x14ac:dyDescent="0.2">
      <c r="I616" s="60"/>
    </row>
    <row r="617" spans="9:9" x14ac:dyDescent="0.2">
      <c r="I617" s="60"/>
    </row>
    <row r="618" spans="9:9" x14ac:dyDescent="0.2">
      <c r="I618" s="60"/>
    </row>
    <row r="619" spans="9:9" x14ac:dyDescent="0.2">
      <c r="I619" s="60"/>
    </row>
    <row r="620" spans="9:9" x14ac:dyDescent="0.2">
      <c r="I620" s="60"/>
    </row>
    <row r="621" spans="9:9" x14ac:dyDescent="0.2">
      <c r="I621" s="60"/>
    </row>
    <row r="622" spans="9:9" x14ac:dyDescent="0.2">
      <c r="I622" s="60"/>
    </row>
    <row r="623" spans="9:9" x14ac:dyDescent="0.2">
      <c r="I623" s="60"/>
    </row>
    <row r="624" spans="9:9" x14ac:dyDescent="0.2">
      <c r="I624" s="60"/>
    </row>
    <row r="625" spans="9:9" x14ac:dyDescent="0.2">
      <c r="I625" s="60"/>
    </row>
    <row r="626" spans="9:9" x14ac:dyDescent="0.2">
      <c r="I626" s="60"/>
    </row>
    <row r="627" spans="9:9" x14ac:dyDescent="0.2">
      <c r="I627" s="60"/>
    </row>
    <row r="628" spans="9:9" x14ac:dyDescent="0.2">
      <c r="I628" s="60"/>
    </row>
    <row r="629" spans="9:9" x14ac:dyDescent="0.2">
      <c r="I629" s="60"/>
    </row>
    <row r="630" spans="9:9" x14ac:dyDescent="0.2">
      <c r="I630" s="60"/>
    </row>
    <row r="631" spans="9:9" x14ac:dyDescent="0.2">
      <c r="I631" s="60"/>
    </row>
    <row r="632" spans="9:9" x14ac:dyDescent="0.2">
      <c r="I632" s="60"/>
    </row>
    <row r="633" spans="9:9" x14ac:dyDescent="0.2">
      <c r="I633" s="60"/>
    </row>
    <row r="634" spans="9:9" x14ac:dyDescent="0.2">
      <c r="I634" s="60"/>
    </row>
    <row r="635" spans="9:9" x14ac:dyDescent="0.2">
      <c r="I635" s="60"/>
    </row>
    <row r="636" spans="9:9" x14ac:dyDescent="0.2">
      <c r="I636" s="60"/>
    </row>
    <row r="637" spans="9:9" x14ac:dyDescent="0.2">
      <c r="I637" s="60"/>
    </row>
    <row r="638" spans="9:9" x14ac:dyDescent="0.2">
      <c r="I638" s="60"/>
    </row>
    <row r="639" spans="9:9" x14ac:dyDescent="0.2">
      <c r="I639" s="60"/>
    </row>
    <row r="640" spans="9:9" x14ac:dyDescent="0.2">
      <c r="I640" s="60"/>
    </row>
    <row r="641" spans="9:9" x14ac:dyDescent="0.2">
      <c r="I641" s="60"/>
    </row>
    <row r="642" spans="9:9" x14ac:dyDescent="0.2">
      <c r="I642" s="60"/>
    </row>
    <row r="643" spans="9:9" x14ac:dyDescent="0.2">
      <c r="I643" s="60"/>
    </row>
    <row r="644" spans="9:9" x14ac:dyDescent="0.2">
      <c r="I644" s="60"/>
    </row>
    <row r="645" spans="9:9" x14ac:dyDescent="0.2">
      <c r="I645" s="60"/>
    </row>
    <row r="646" spans="9:9" x14ac:dyDescent="0.2">
      <c r="I646" s="60"/>
    </row>
    <row r="647" spans="9:9" x14ac:dyDescent="0.2">
      <c r="I647" s="60"/>
    </row>
    <row r="648" spans="9:9" x14ac:dyDescent="0.2">
      <c r="I648" s="60"/>
    </row>
    <row r="649" spans="9:9" x14ac:dyDescent="0.2">
      <c r="I649" s="60"/>
    </row>
    <row r="650" spans="9:9" x14ac:dyDescent="0.2">
      <c r="I650" s="60"/>
    </row>
    <row r="651" spans="9:9" x14ac:dyDescent="0.2">
      <c r="I651" s="60"/>
    </row>
    <row r="652" spans="9:9" x14ac:dyDescent="0.2">
      <c r="I652" s="60"/>
    </row>
    <row r="653" spans="9:9" x14ac:dyDescent="0.2">
      <c r="I653" s="60"/>
    </row>
    <row r="654" spans="9:9" x14ac:dyDescent="0.2">
      <c r="I654" s="60"/>
    </row>
    <row r="655" spans="9:9" x14ac:dyDescent="0.2">
      <c r="I655" s="60"/>
    </row>
    <row r="656" spans="9:9" x14ac:dyDescent="0.2">
      <c r="I656" s="60"/>
    </row>
    <row r="657" spans="9:9" x14ac:dyDescent="0.2">
      <c r="I657" s="60"/>
    </row>
    <row r="658" spans="9:9" x14ac:dyDescent="0.2">
      <c r="I658" s="60"/>
    </row>
    <row r="659" spans="9:9" x14ac:dyDescent="0.2">
      <c r="I659" s="60"/>
    </row>
    <row r="660" spans="9:9" x14ac:dyDescent="0.2">
      <c r="I660" s="60"/>
    </row>
    <row r="661" spans="9:9" x14ac:dyDescent="0.2">
      <c r="I661" s="60"/>
    </row>
    <row r="662" spans="9:9" x14ac:dyDescent="0.2">
      <c r="I662" s="60"/>
    </row>
    <row r="663" spans="9:9" x14ac:dyDescent="0.2">
      <c r="I663" s="60"/>
    </row>
    <row r="664" spans="9:9" x14ac:dyDescent="0.2">
      <c r="I664" s="60"/>
    </row>
    <row r="665" spans="9:9" x14ac:dyDescent="0.2">
      <c r="I665" s="60"/>
    </row>
    <row r="666" spans="9:9" x14ac:dyDescent="0.2">
      <c r="I666" s="60"/>
    </row>
    <row r="667" spans="9:9" x14ac:dyDescent="0.2">
      <c r="I667" s="60"/>
    </row>
    <row r="668" spans="9:9" x14ac:dyDescent="0.2">
      <c r="I668" s="60"/>
    </row>
    <row r="669" spans="9:9" x14ac:dyDescent="0.2">
      <c r="I669" s="60"/>
    </row>
    <row r="670" spans="9:9" x14ac:dyDescent="0.2">
      <c r="I670" s="60"/>
    </row>
    <row r="671" spans="9:9" x14ac:dyDescent="0.2">
      <c r="I671" s="60"/>
    </row>
    <row r="672" spans="9:9" x14ac:dyDescent="0.2">
      <c r="I672" s="60"/>
    </row>
    <row r="673" spans="9:9" x14ac:dyDescent="0.2">
      <c r="I673" s="60"/>
    </row>
    <row r="674" spans="9:9" x14ac:dyDescent="0.2">
      <c r="I674" s="60"/>
    </row>
    <row r="675" spans="9:9" x14ac:dyDescent="0.2">
      <c r="I675" s="60"/>
    </row>
    <row r="676" spans="9:9" x14ac:dyDescent="0.2">
      <c r="I676" s="60"/>
    </row>
    <row r="677" spans="9:9" x14ac:dyDescent="0.2">
      <c r="I677" s="60"/>
    </row>
    <row r="678" spans="9:9" x14ac:dyDescent="0.2">
      <c r="I678" s="60"/>
    </row>
    <row r="679" spans="9:9" x14ac:dyDescent="0.2">
      <c r="I679" s="60"/>
    </row>
    <row r="680" spans="9:9" x14ac:dyDescent="0.2">
      <c r="I680" s="60"/>
    </row>
    <row r="681" spans="9:9" x14ac:dyDescent="0.2">
      <c r="I681" s="60"/>
    </row>
    <row r="682" spans="9:9" x14ac:dyDescent="0.2">
      <c r="I682" s="60"/>
    </row>
    <row r="683" spans="9:9" x14ac:dyDescent="0.2">
      <c r="I683" s="60"/>
    </row>
    <row r="684" spans="9:9" x14ac:dyDescent="0.2">
      <c r="I684" s="60"/>
    </row>
    <row r="685" spans="9:9" x14ac:dyDescent="0.2">
      <c r="I685" s="60"/>
    </row>
    <row r="686" spans="9:9" x14ac:dyDescent="0.2">
      <c r="I686" s="60"/>
    </row>
    <row r="687" spans="9:9" x14ac:dyDescent="0.2">
      <c r="I687" s="60"/>
    </row>
    <row r="688" spans="9:9" x14ac:dyDescent="0.2">
      <c r="I688" s="60"/>
    </row>
    <row r="689" spans="9:9" x14ac:dyDescent="0.2">
      <c r="I689" s="60"/>
    </row>
    <row r="690" spans="9:9" x14ac:dyDescent="0.2">
      <c r="I690" s="60"/>
    </row>
    <row r="691" spans="9:9" x14ac:dyDescent="0.2">
      <c r="I691" s="60"/>
    </row>
    <row r="692" spans="9:9" x14ac:dyDescent="0.2">
      <c r="I692" s="60"/>
    </row>
    <row r="693" spans="9:9" x14ac:dyDescent="0.2">
      <c r="I693" s="60"/>
    </row>
    <row r="694" spans="9:9" x14ac:dyDescent="0.2">
      <c r="I694" s="60"/>
    </row>
    <row r="695" spans="9:9" x14ac:dyDescent="0.2">
      <c r="I695" s="60"/>
    </row>
    <row r="696" spans="9:9" x14ac:dyDescent="0.2">
      <c r="I696" s="60"/>
    </row>
    <row r="697" spans="9:9" x14ac:dyDescent="0.2">
      <c r="I697" s="60"/>
    </row>
    <row r="698" spans="9:9" x14ac:dyDescent="0.2">
      <c r="I698" s="60"/>
    </row>
    <row r="699" spans="9:9" x14ac:dyDescent="0.2">
      <c r="I699" s="60"/>
    </row>
    <row r="700" spans="9:9" x14ac:dyDescent="0.2">
      <c r="I700" s="60"/>
    </row>
    <row r="701" spans="9:9" x14ac:dyDescent="0.2">
      <c r="I701" s="60"/>
    </row>
    <row r="702" spans="9:9" x14ac:dyDescent="0.2">
      <c r="I702" s="60"/>
    </row>
    <row r="703" spans="9:9" x14ac:dyDescent="0.2">
      <c r="I703" s="60"/>
    </row>
    <row r="704" spans="9:9" x14ac:dyDescent="0.2">
      <c r="I704" s="60"/>
    </row>
    <row r="705" spans="9:9" x14ac:dyDescent="0.2">
      <c r="I705" s="60"/>
    </row>
    <row r="706" spans="9:9" x14ac:dyDescent="0.2">
      <c r="I706" s="60"/>
    </row>
    <row r="707" spans="9:9" x14ac:dyDescent="0.2">
      <c r="I707" s="60"/>
    </row>
    <row r="708" spans="9:9" x14ac:dyDescent="0.2">
      <c r="I708" s="60"/>
    </row>
    <row r="709" spans="9:9" x14ac:dyDescent="0.2">
      <c r="I709" s="60"/>
    </row>
    <row r="710" spans="9:9" x14ac:dyDescent="0.2">
      <c r="I710" s="60"/>
    </row>
    <row r="711" spans="9:9" x14ac:dyDescent="0.2">
      <c r="I711" s="60"/>
    </row>
    <row r="712" spans="9:9" x14ac:dyDescent="0.2">
      <c r="I712" s="60"/>
    </row>
    <row r="713" spans="9:9" x14ac:dyDescent="0.2">
      <c r="I713" s="60"/>
    </row>
    <row r="714" spans="9:9" x14ac:dyDescent="0.2">
      <c r="I714" s="60"/>
    </row>
    <row r="715" spans="9:9" x14ac:dyDescent="0.2">
      <c r="I715" s="60"/>
    </row>
    <row r="716" spans="9:9" x14ac:dyDescent="0.2">
      <c r="I716" s="60"/>
    </row>
    <row r="717" spans="9:9" x14ac:dyDescent="0.2">
      <c r="I717" s="60"/>
    </row>
    <row r="718" spans="9:9" x14ac:dyDescent="0.2">
      <c r="I718" s="60"/>
    </row>
    <row r="719" spans="9:9" x14ac:dyDescent="0.2">
      <c r="I719" s="60"/>
    </row>
    <row r="720" spans="9:9" x14ac:dyDescent="0.2">
      <c r="I720" s="60"/>
    </row>
    <row r="721" spans="9:9" x14ac:dyDescent="0.2">
      <c r="I721" s="60"/>
    </row>
    <row r="722" spans="9:9" x14ac:dyDescent="0.2">
      <c r="I722" s="60"/>
    </row>
    <row r="723" spans="9:9" x14ac:dyDescent="0.2">
      <c r="I723" s="60"/>
    </row>
    <row r="724" spans="9:9" x14ac:dyDescent="0.2">
      <c r="I724" s="60"/>
    </row>
    <row r="725" spans="9:9" x14ac:dyDescent="0.2">
      <c r="I725" s="60"/>
    </row>
    <row r="726" spans="9:9" x14ac:dyDescent="0.2">
      <c r="I726" s="60"/>
    </row>
    <row r="727" spans="9:9" x14ac:dyDescent="0.2">
      <c r="I727" s="60"/>
    </row>
    <row r="728" spans="9:9" x14ac:dyDescent="0.2">
      <c r="I728" s="60"/>
    </row>
    <row r="729" spans="9:9" x14ac:dyDescent="0.2">
      <c r="I729" s="60"/>
    </row>
    <row r="730" spans="9:9" x14ac:dyDescent="0.2">
      <c r="I730" s="60"/>
    </row>
    <row r="731" spans="9:9" x14ac:dyDescent="0.2">
      <c r="I731" s="60"/>
    </row>
    <row r="732" spans="9:9" x14ac:dyDescent="0.2">
      <c r="I732" s="60"/>
    </row>
    <row r="733" spans="9:9" x14ac:dyDescent="0.2">
      <c r="I733" s="60"/>
    </row>
    <row r="734" spans="9:9" x14ac:dyDescent="0.2">
      <c r="I734" s="60"/>
    </row>
    <row r="735" spans="9:9" x14ac:dyDescent="0.2">
      <c r="I735" s="60"/>
    </row>
    <row r="736" spans="9:9" x14ac:dyDescent="0.2">
      <c r="I736" s="60"/>
    </row>
    <row r="737" spans="9:9" x14ac:dyDescent="0.2">
      <c r="I737" s="60"/>
    </row>
    <row r="738" spans="9:9" x14ac:dyDescent="0.2">
      <c r="I738" s="60"/>
    </row>
    <row r="739" spans="9:9" x14ac:dyDescent="0.2">
      <c r="I739" s="60"/>
    </row>
    <row r="740" spans="9:9" x14ac:dyDescent="0.2">
      <c r="I740" s="60"/>
    </row>
    <row r="741" spans="9:9" x14ac:dyDescent="0.2">
      <c r="I741" s="60"/>
    </row>
    <row r="742" spans="9:9" x14ac:dyDescent="0.2">
      <c r="I742" s="60"/>
    </row>
    <row r="743" spans="9:9" x14ac:dyDescent="0.2">
      <c r="I743" s="60"/>
    </row>
    <row r="744" spans="9:9" x14ac:dyDescent="0.2">
      <c r="I744" s="60"/>
    </row>
    <row r="745" spans="9:9" x14ac:dyDescent="0.2">
      <c r="I745" s="60"/>
    </row>
    <row r="746" spans="9:9" x14ac:dyDescent="0.2">
      <c r="I746" s="60"/>
    </row>
    <row r="747" spans="9:9" x14ac:dyDescent="0.2">
      <c r="I747" s="60"/>
    </row>
    <row r="748" spans="9:9" x14ac:dyDescent="0.2">
      <c r="I748" s="60"/>
    </row>
    <row r="749" spans="9:9" x14ac:dyDescent="0.2">
      <c r="I749" s="60"/>
    </row>
    <row r="750" spans="9:9" x14ac:dyDescent="0.2">
      <c r="I750" s="60"/>
    </row>
    <row r="751" spans="9:9" x14ac:dyDescent="0.2">
      <c r="I751" s="60"/>
    </row>
    <row r="752" spans="9:9" x14ac:dyDescent="0.2">
      <c r="I752" s="60"/>
    </row>
    <row r="753" spans="9:9" x14ac:dyDescent="0.2">
      <c r="I753" s="60"/>
    </row>
    <row r="754" spans="9:9" x14ac:dyDescent="0.2">
      <c r="I754" s="60"/>
    </row>
    <row r="755" spans="9:9" x14ac:dyDescent="0.2">
      <c r="I755" s="60"/>
    </row>
    <row r="756" spans="9:9" x14ac:dyDescent="0.2">
      <c r="I756" s="60"/>
    </row>
    <row r="757" spans="9:9" x14ac:dyDescent="0.2">
      <c r="I757" s="60"/>
    </row>
    <row r="758" spans="9:9" x14ac:dyDescent="0.2">
      <c r="I758" s="60"/>
    </row>
    <row r="759" spans="9:9" x14ac:dyDescent="0.2">
      <c r="I759" s="60"/>
    </row>
    <row r="760" spans="9:9" x14ac:dyDescent="0.2">
      <c r="I760" s="60"/>
    </row>
    <row r="761" spans="9:9" x14ac:dyDescent="0.2">
      <c r="I761" s="60"/>
    </row>
    <row r="762" spans="9:9" x14ac:dyDescent="0.2">
      <c r="I762" s="60"/>
    </row>
    <row r="763" spans="9:9" x14ac:dyDescent="0.2">
      <c r="I763" s="60"/>
    </row>
    <row r="764" spans="9:9" x14ac:dyDescent="0.2">
      <c r="I764" s="60"/>
    </row>
    <row r="765" spans="9:9" x14ac:dyDescent="0.2">
      <c r="I765" s="60"/>
    </row>
    <row r="766" spans="9:9" x14ac:dyDescent="0.2">
      <c r="I766" s="60"/>
    </row>
    <row r="767" spans="9:9" x14ac:dyDescent="0.2">
      <c r="I767" s="60"/>
    </row>
    <row r="768" spans="9:9" x14ac:dyDescent="0.2">
      <c r="I768" s="60"/>
    </row>
    <row r="769" spans="9:9" x14ac:dyDescent="0.2">
      <c r="I769" s="60"/>
    </row>
    <row r="770" spans="9:9" x14ac:dyDescent="0.2">
      <c r="I770" s="60"/>
    </row>
    <row r="771" spans="9:9" x14ac:dyDescent="0.2">
      <c r="I771" s="60"/>
    </row>
    <row r="772" spans="9:9" x14ac:dyDescent="0.2">
      <c r="I772" s="60"/>
    </row>
    <row r="773" spans="9:9" x14ac:dyDescent="0.2">
      <c r="I773" s="60"/>
    </row>
    <row r="774" spans="9:9" x14ac:dyDescent="0.2">
      <c r="I774" s="60"/>
    </row>
    <row r="775" spans="9:9" x14ac:dyDescent="0.2">
      <c r="I775" s="60"/>
    </row>
    <row r="776" spans="9:9" x14ac:dyDescent="0.2">
      <c r="I776" s="60"/>
    </row>
    <row r="777" spans="9:9" x14ac:dyDescent="0.2">
      <c r="I777" s="60"/>
    </row>
    <row r="778" spans="9:9" x14ac:dyDescent="0.2">
      <c r="I778" s="60"/>
    </row>
    <row r="779" spans="9:9" x14ac:dyDescent="0.2">
      <c r="I779" s="60"/>
    </row>
    <row r="780" spans="9:9" x14ac:dyDescent="0.2">
      <c r="I780" s="60"/>
    </row>
    <row r="781" spans="9:9" x14ac:dyDescent="0.2">
      <c r="I781" s="60"/>
    </row>
    <row r="782" spans="9:9" x14ac:dyDescent="0.2">
      <c r="I782" s="60"/>
    </row>
    <row r="783" spans="9:9" x14ac:dyDescent="0.2">
      <c r="I783" s="60"/>
    </row>
    <row r="784" spans="9:9" x14ac:dyDescent="0.2">
      <c r="I784" s="60"/>
    </row>
    <row r="785" spans="9:9" x14ac:dyDescent="0.2">
      <c r="I785" s="60"/>
    </row>
    <row r="786" spans="9:9" x14ac:dyDescent="0.2">
      <c r="I786" s="60"/>
    </row>
    <row r="787" spans="9:9" x14ac:dyDescent="0.2">
      <c r="I787" s="60"/>
    </row>
    <row r="788" spans="9:9" x14ac:dyDescent="0.2">
      <c r="I788" s="60"/>
    </row>
    <row r="789" spans="9:9" x14ac:dyDescent="0.2">
      <c r="I789" s="60"/>
    </row>
    <row r="790" spans="9:9" x14ac:dyDescent="0.2">
      <c r="I790" s="60"/>
    </row>
    <row r="791" spans="9:9" x14ac:dyDescent="0.2">
      <c r="I791" s="60"/>
    </row>
    <row r="792" spans="9:9" x14ac:dyDescent="0.2">
      <c r="I792" s="60"/>
    </row>
    <row r="793" spans="9:9" x14ac:dyDescent="0.2">
      <c r="I793" s="60"/>
    </row>
    <row r="794" spans="9:9" x14ac:dyDescent="0.2">
      <c r="I794" s="60"/>
    </row>
    <row r="795" spans="9:9" x14ac:dyDescent="0.2">
      <c r="I795" s="60"/>
    </row>
    <row r="796" spans="9:9" x14ac:dyDescent="0.2">
      <c r="I796" s="60"/>
    </row>
    <row r="797" spans="9:9" x14ac:dyDescent="0.2">
      <c r="I797" s="60"/>
    </row>
    <row r="798" spans="9:9" x14ac:dyDescent="0.2">
      <c r="I798" s="60"/>
    </row>
    <row r="799" spans="9:9" x14ac:dyDescent="0.2">
      <c r="I799" s="60"/>
    </row>
    <row r="800" spans="9:9" x14ac:dyDescent="0.2">
      <c r="I800" s="60"/>
    </row>
    <row r="801" spans="9:9" x14ac:dyDescent="0.2">
      <c r="I801" s="60"/>
    </row>
    <row r="802" spans="9:9" x14ac:dyDescent="0.2">
      <c r="I802" s="60"/>
    </row>
    <row r="803" spans="9:9" x14ac:dyDescent="0.2">
      <c r="I803" s="60"/>
    </row>
    <row r="804" spans="9:9" x14ac:dyDescent="0.2">
      <c r="I804" s="60"/>
    </row>
    <row r="805" spans="9:9" x14ac:dyDescent="0.2">
      <c r="I805" s="60"/>
    </row>
    <row r="806" spans="9:9" x14ac:dyDescent="0.2">
      <c r="I806" s="60"/>
    </row>
    <row r="807" spans="9:9" x14ac:dyDescent="0.2">
      <c r="I807" s="60"/>
    </row>
    <row r="808" spans="9:9" x14ac:dyDescent="0.2">
      <c r="I808" s="60"/>
    </row>
    <row r="809" spans="9:9" x14ac:dyDescent="0.2">
      <c r="I809" s="60"/>
    </row>
    <row r="810" spans="9:9" x14ac:dyDescent="0.2">
      <c r="I810" s="60"/>
    </row>
    <row r="811" spans="9:9" x14ac:dyDescent="0.2">
      <c r="I811" s="60"/>
    </row>
    <row r="812" spans="9:9" x14ac:dyDescent="0.2">
      <c r="I812" s="60"/>
    </row>
    <row r="813" spans="9:9" x14ac:dyDescent="0.2">
      <c r="I813" s="60"/>
    </row>
    <row r="814" spans="9:9" x14ac:dyDescent="0.2">
      <c r="I814" s="60"/>
    </row>
    <row r="815" spans="9:9" x14ac:dyDescent="0.2">
      <c r="I815" s="60"/>
    </row>
    <row r="816" spans="9:9" x14ac:dyDescent="0.2">
      <c r="I816" s="60"/>
    </row>
    <row r="817" spans="9:9" x14ac:dyDescent="0.2">
      <c r="I817" s="60"/>
    </row>
    <row r="818" spans="9:9" x14ac:dyDescent="0.2">
      <c r="I818" s="60"/>
    </row>
    <row r="819" spans="9:9" x14ac:dyDescent="0.2">
      <c r="I819" s="60"/>
    </row>
    <row r="820" spans="9:9" x14ac:dyDescent="0.2">
      <c r="I820" s="60"/>
    </row>
    <row r="821" spans="9:9" x14ac:dyDescent="0.2">
      <c r="I821" s="60"/>
    </row>
    <row r="822" spans="9:9" x14ac:dyDescent="0.2">
      <c r="I822" s="60"/>
    </row>
    <row r="823" spans="9:9" x14ac:dyDescent="0.2">
      <c r="I823" s="60"/>
    </row>
    <row r="824" spans="9:9" x14ac:dyDescent="0.2">
      <c r="I824" s="60"/>
    </row>
    <row r="825" spans="9:9" x14ac:dyDescent="0.2">
      <c r="I825" s="60"/>
    </row>
    <row r="826" spans="9:9" x14ac:dyDescent="0.2">
      <c r="I826" s="60"/>
    </row>
    <row r="827" spans="9:9" x14ac:dyDescent="0.2">
      <c r="I827" s="60"/>
    </row>
    <row r="828" spans="9:9" x14ac:dyDescent="0.2">
      <c r="I828" s="60"/>
    </row>
    <row r="829" spans="9:9" x14ac:dyDescent="0.2">
      <c r="I829" s="60"/>
    </row>
    <row r="830" spans="9:9" x14ac:dyDescent="0.2">
      <c r="I830" s="60"/>
    </row>
    <row r="831" spans="9:9" x14ac:dyDescent="0.2">
      <c r="I831" s="60"/>
    </row>
    <row r="832" spans="9:9" x14ac:dyDescent="0.2">
      <c r="I832" s="60"/>
    </row>
    <row r="833" spans="9:9" x14ac:dyDescent="0.2">
      <c r="I833" s="60"/>
    </row>
    <row r="834" spans="9:9" x14ac:dyDescent="0.2">
      <c r="I834" s="60"/>
    </row>
    <row r="835" spans="9:9" x14ac:dyDescent="0.2">
      <c r="I835" s="60"/>
    </row>
    <row r="836" spans="9:9" x14ac:dyDescent="0.2">
      <c r="I836" s="60"/>
    </row>
    <row r="837" spans="9:9" x14ac:dyDescent="0.2">
      <c r="I837" s="60"/>
    </row>
    <row r="838" spans="9:9" x14ac:dyDescent="0.2">
      <c r="I838" s="60"/>
    </row>
    <row r="839" spans="9:9" x14ac:dyDescent="0.2">
      <c r="I839" s="60"/>
    </row>
    <row r="840" spans="9:9" x14ac:dyDescent="0.2">
      <c r="I840" s="60"/>
    </row>
    <row r="841" spans="9:9" x14ac:dyDescent="0.2">
      <c r="I841" s="60"/>
    </row>
    <row r="842" spans="9:9" x14ac:dyDescent="0.2">
      <c r="I842" s="60"/>
    </row>
    <row r="843" spans="9:9" x14ac:dyDescent="0.2">
      <c r="I843" s="60"/>
    </row>
    <row r="844" spans="9:9" x14ac:dyDescent="0.2">
      <c r="I844" s="60"/>
    </row>
    <row r="845" spans="9:9" x14ac:dyDescent="0.2">
      <c r="I845" s="60"/>
    </row>
    <row r="846" spans="9:9" x14ac:dyDescent="0.2">
      <c r="I846" s="60"/>
    </row>
    <row r="847" spans="9:9" x14ac:dyDescent="0.2">
      <c r="I847" s="60"/>
    </row>
    <row r="848" spans="9:9" x14ac:dyDescent="0.2">
      <c r="I848" s="60"/>
    </row>
    <row r="849" spans="9:9" x14ac:dyDescent="0.2">
      <c r="I849" s="60"/>
    </row>
    <row r="850" spans="9:9" x14ac:dyDescent="0.2">
      <c r="I850" s="60"/>
    </row>
    <row r="851" spans="9:9" x14ac:dyDescent="0.2">
      <c r="I851" s="60"/>
    </row>
    <row r="852" spans="9:9" x14ac:dyDescent="0.2">
      <c r="I852" s="60"/>
    </row>
    <row r="853" spans="9:9" x14ac:dyDescent="0.2">
      <c r="I853" s="60"/>
    </row>
    <row r="854" spans="9:9" x14ac:dyDescent="0.2">
      <c r="I854" s="60"/>
    </row>
    <row r="855" spans="9:9" x14ac:dyDescent="0.2">
      <c r="I855" s="60"/>
    </row>
    <row r="856" spans="9:9" x14ac:dyDescent="0.2">
      <c r="I856" s="60"/>
    </row>
    <row r="857" spans="9:9" x14ac:dyDescent="0.2">
      <c r="I857" s="60"/>
    </row>
    <row r="858" spans="9:9" x14ac:dyDescent="0.2">
      <c r="I858" s="60"/>
    </row>
    <row r="859" spans="9:9" x14ac:dyDescent="0.2">
      <c r="I859" s="60"/>
    </row>
    <row r="860" spans="9:9" x14ac:dyDescent="0.2">
      <c r="I860" s="60"/>
    </row>
    <row r="861" spans="9:9" x14ac:dyDescent="0.2">
      <c r="I861" s="60"/>
    </row>
    <row r="862" spans="9:9" x14ac:dyDescent="0.2">
      <c r="I862" s="60"/>
    </row>
    <row r="863" spans="9:9" x14ac:dyDescent="0.2">
      <c r="I863" s="60"/>
    </row>
    <row r="864" spans="9:9" x14ac:dyDescent="0.2">
      <c r="I864" s="60"/>
    </row>
    <row r="865" spans="9:9" x14ac:dyDescent="0.2">
      <c r="I865" s="60"/>
    </row>
    <row r="866" spans="9:9" x14ac:dyDescent="0.2">
      <c r="I866" s="60"/>
    </row>
    <row r="867" spans="9:9" x14ac:dyDescent="0.2">
      <c r="I867" s="60"/>
    </row>
    <row r="868" spans="9:9" x14ac:dyDescent="0.2">
      <c r="I868" s="60"/>
    </row>
    <row r="869" spans="9:9" x14ac:dyDescent="0.2">
      <c r="I869" s="60"/>
    </row>
    <row r="870" spans="9:9" x14ac:dyDescent="0.2">
      <c r="I870" s="60"/>
    </row>
    <row r="871" spans="9:9" x14ac:dyDescent="0.2">
      <c r="I871" s="60"/>
    </row>
    <row r="872" spans="9:9" x14ac:dyDescent="0.2">
      <c r="I872" s="60"/>
    </row>
    <row r="873" spans="9:9" x14ac:dyDescent="0.2">
      <c r="I873" s="60"/>
    </row>
    <row r="874" spans="9:9" x14ac:dyDescent="0.2">
      <c r="I874" s="60"/>
    </row>
    <row r="875" spans="9:9" x14ac:dyDescent="0.2">
      <c r="I875" s="60"/>
    </row>
    <row r="876" spans="9:9" x14ac:dyDescent="0.2">
      <c r="I876" s="60"/>
    </row>
    <row r="877" spans="9:9" x14ac:dyDescent="0.2">
      <c r="I877" s="60"/>
    </row>
    <row r="878" spans="9:9" x14ac:dyDescent="0.2">
      <c r="I878" s="60"/>
    </row>
    <row r="879" spans="9:9" x14ac:dyDescent="0.2">
      <c r="I879" s="60"/>
    </row>
    <row r="880" spans="9:9" x14ac:dyDescent="0.2">
      <c r="I880" s="60"/>
    </row>
    <row r="881" spans="9:9" x14ac:dyDescent="0.2">
      <c r="I881" s="60"/>
    </row>
    <row r="882" spans="9:9" x14ac:dyDescent="0.2">
      <c r="I882" s="60"/>
    </row>
    <row r="883" spans="9:9" x14ac:dyDescent="0.2">
      <c r="I883" s="60"/>
    </row>
    <row r="884" spans="9:9" x14ac:dyDescent="0.2">
      <c r="I884" s="60"/>
    </row>
    <row r="885" spans="9:9" x14ac:dyDescent="0.2">
      <c r="I885" s="60"/>
    </row>
    <row r="886" spans="9:9" x14ac:dyDescent="0.2">
      <c r="I886" s="60"/>
    </row>
    <row r="887" spans="9:9" x14ac:dyDescent="0.2">
      <c r="I887" s="60"/>
    </row>
    <row r="888" spans="9:9" x14ac:dyDescent="0.2">
      <c r="I888" s="60"/>
    </row>
    <row r="889" spans="9:9" x14ac:dyDescent="0.2">
      <c r="I889" s="60"/>
    </row>
    <row r="890" spans="9:9" x14ac:dyDescent="0.2">
      <c r="I890" s="60"/>
    </row>
    <row r="891" spans="9:9" x14ac:dyDescent="0.2">
      <c r="I891" s="60"/>
    </row>
    <row r="892" spans="9:9" x14ac:dyDescent="0.2">
      <c r="I892" s="60"/>
    </row>
    <row r="893" spans="9:9" x14ac:dyDescent="0.2">
      <c r="I893" s="60"/>
    </row>
    <row r="894" spans="9:9" x14ac:dyDescent="0.2">
      <c r="I894" s="60"/>
    </row>
    <row r="895" spans="9:9" x14ac:dyDescent="0.2">
      <c r="I895" s="60"/>
    </row>
    <row r="896" spans="9:9" x14ac:dyDescent="0.2">
      <c r="I896" s="60"/>
    </row>
    <row r="897" spans="9:9" x14ac:dyDescent="0.2">
      <c r="I897" s="60"/>
    </row>
    <row r="898" spans="9:9" x14ac:dyDescent="0.2">
      <c r="I898" s="60"/>
    </row>
    <row r="899" spans="9:9" x14ac:dyDescent="0.2">
      <c r="I899" s="60"/>
    </row>
    <row r="900" spans="9:9" x14ac:dyDescent="0.2">
      <c r="I900" s="60"/>
    </row>
    <row r="901" spans="9:9" x14ac:dyDescent="0.2">
      <c r="I901" s="60"/>
    </row>
    <row r="902" spans="9:9" x14ac:dyDescent="0.2">
      <c r="I902" s="60"/>
    </row>
    <row r="903" spans="9:9" x14ac:dyDescent="0.2">
      <c r="I903" s="60"/>
    </row>
    <row r="904" spans="9:9" x14ac:dyDescent="0.2">
      <c r="I904" s="60"/>
    </row>
    <row r="905" spans="9:9" x14ac:dyDescent="0.2">
      <c r="I905" s="60"/>
    </row>
    <row r="906" spans="9:9" x14ac:dyDescent="0.2">
      <c r="I906" s="60"/>
    </row>
    <row r="907" spans="9:9" x14ac:dyDescent="0.2">
      <c r="I907" s="60"/>
    </row>
    <row r="908" spans="9:9" x14ac:dyDescent="0.2">
      <c r="I908" s="60"/>
    </row>
    <row r="909" spans="9:9" x14ac:dyDescent="0.2">
      <c r="I909" s="60"/>
    </row>
    <row r="910" spans="9:9" x14ac:dyDescent="0.2">
      <c r="I910" s="60"/>
    </row>
    <row r="911" spans="9:9" x14ac:dyDescent="0.2">
      <c r="I911" s="60"/>
    </row>
    <row r="912" spans="9:9" x14ac:dyDescent="0.2">
      <c r="I912" s="60"/>
    </row>
    <row r="913" spans="9:9" x14ac:dyDescent="0.2">
      <c r="I913" s="60"/>
    </row>
    <row r="914" spans="9:9" x14ac:dyDescent="0.2">
      <c r="I914" s="60"/>
    </row>
    <row r="915" spans="9:9" x14ac:dyDescent="0.2">
      <c r="I915" s="60"/>
    </row>
    <row r="916" spans="9:9" x14ac:dyDescent="0.2">
      <c r="I916" s="60"/>
    </row>
    <row r="917" spans="9:9" x14ac:dyDescent="0.2">
      <c r="I917" s="60"/>
    </row>
    <row r="918" spans="9:9" x14ac:dyDescent="0.2">
      <c r="I918" s="60"/>
    </row>
    <row r="919" spans="9:9" x14ac:dyDescent="0.2">
      <c r="I919" s="60"/>
    </row>
    <row r="920" spans="9:9" x14ac:dyDescent="0.2">
      <c r="I920" s="60"/>
    </row>
    <row r="921" spans="9:9" x14ac:dyDescent="0.2">
      <c r="I921" s="60"/>
    </row>
    <row r="922" spans="9:9" x14ac:dyDescent="0.2">
      <c r="I922" s="60"/>
    </row>
    <row r="923" spans="9:9" x14ac:dyDescent="0.2">
      <c r="I923" s="60"/>
    </row>
    <row r="924" spans="9:9" x14ac:dyDescent="0.2">
      <c r="I924" s="60"/>
    </row>
    <row r="925" spans="9:9" x14ac:dyDescent="0.2">
      <c r="I925" s="60"/>
    </row>
    <row r="926" spans="9:9" x14ac:dyDescent="0.2">
      <c r="I926" s="60"/>
    </row>
    <row r="927" spans="9:9" x14ac:dyDescent="0.2">
      <c r="I927" s="60"/>
    </row>
    <row r="928" spans="9:9" x14ac:dyDescent="0.2">
      <c r="I928" s="60"/>
    </row>
    <row r="929" spans="9:9" x14ac:dyDescent="0.2">
      <c r="I929" s="60"/>
    </row>
    <row r="930" spans="9:9" x14ac:dyDescent="0.2">
      <c r="I930" s="60"/>
    </row>
    <row r="931" spans="9:9" x14ac:dyDescent="0.2">
      <c r="I931" s="60"/>
    </row>
    <row r="932" spans="9:9" x14ac:dyDescent="0.2">
      <c r="I932" s="60"/>
    </row>
    <row r="933" spans="9:9" x14ac:dyDescent="0.2">
      <c r="I933" s="60"/>
    </row>
    <row r="934" spans="9:9" x14ac:dyDescent="0.2">
      <c r="I934" s="60"/>
    </row>
    <row r="935" spans="9:9" x14ac:dyDescent="0.2">
      <c r="I935" s="60"/>
    </row>
    <row r="936" spans="9:9" x14ac:dyDescent="0.2">
      <c r="I936" s="60"/>
    </row>
    <row r="937" spans="9:9" x14ac:dyDescent="0.2">
      <c r="I937" s="60"/>
    </row>
    <row r="938" spans="9:9" x14ac:dyDescent="0.2">
      <c r="I938" s="60"/>
    </row>
    <row r="939" spans="9:9" x14ac:dyDescent="0.2">
      <c r="I939" s="60"/>
    </row>
    <row r="940" spans="9:9" x14ac:dyDescent="0.2">
      <c r="I940" s="60"/>
    </row>
    <row r="941" spans="9:9" x14ac:dyDescent="0.2">
      <c r="I941" s="60"/>
    </row>
    <row r="942" spans="9:9" x14ac:dyDescent="0.2">
      <c r="I942" s="60"/>
    </row>
    <row r="943" spans="9:9" x14ac:dyDescent="0.2">
      <c r="I943" s="60"/>
    </row>
    <row r="944" spans="9:9" x14ac:dyDescent="0.2">
      <c r="I944" s="60"/>
    </row>
    <row r="945" spans="9:9" x14ac:dyDescent="0.2">
      <c r="I945" s="60"/>
    </row>
    <row r="946" spans="9:9" x14ac:dyDescent="0.2">
      <c r="I946" s="60"/>
    </row>
    <row r="947" spans="9:9" x14ac:dyDescent="0.2">
      <c r="I947" s="60"/>
    </row>
    <row r="948" spans="9:9" x14ac:dyDescent="0.2">
      <c r="I948" s="60"/>
    </row>
    <row r="949" spans="9:9" x14ac:dyDescent="0.2">
      <c r="I949" s="60"/>
    </row>
    <row r="950" spans="9:9" x14ac:dyDescent="0.2">
      <c r="I950" s="60"/>
    </row>
    <row r="951" spans="9:9" x14ac:dyDescent="0.2">
      <c r="I951" s="60"/>
    </row>
    <row r="952" spans="9:9" x14ac:dyDescent="0.2">
      <c r="I952" s="60"/>
    </row>
    <row r="953" spans="9:9" x14ac:dyDescent="0.2">
      <c r="I953" s="60"/>
    </row>
    <row r="954" spans="9:9" x14ac:dyDescent="0.2">
      <c r="I954" s="60"/>
    </row>
    <row r="955" spans="9:9" x14ac:dyDescent="0.2">
      <c r="I955" s="60"/>
    </row>
    <row r="956" spans="9:9" x14ac:dyDescent="0.2">
      <c r="I956" s="60"/>
    </row>
    <row r="957" spans="9:9" x14ac:dyDescent="0.2">
      <c r="I957" s="60"/>
    </row>
    <row r="958" spans="9:9" x14ac:dyDescent="0.2">
      <c r="I958" s="60"/>
    </row>
    <row r="959" spans="9:9" x14ac:dyDescent="0.2">
      <c r="I959" s="60"/>
    </row>
    <row r="960" spans="9:9" x14ac:dyDescent="0.2">
      <c r="I960" s="60"/>
    </row>
    <row r="961" spans="9:9" x14ac:dyDescent="0.2">
      <c r="I961" s="60"/>
    </row>
    <row r="962" spans="9:9" x14ac:dyDescent="0.2">
      <c r="I962" s="60"/>
    </row>
    <row r="963" spans="9:9" x14ac:dyDescent="0.2">
      <c r="I963" s="60"/>
    </row>
    <row r="964" spans="9:9" x14ac:dyDescent="0.2">
      <c r="I964" s="60"/>
    </row>
    <row r="965" spans="9:9" x14ac:dyDescent="0.2">
      <c r="I965" s="60"/>
    </row>
    <row r="966" spans="9:9" x14ac:dyDescent="0.2">
      <c r="I966" s="60"/>
    </row>
    <row r="967" spans="9:9" x14ac:dyDescent="0.2">
      <c r="I967" s="60"/>
    </row>
    <row r="968" spans="9:9" x14ac:dyDescent="0.2">
      <c r="I968" s="60"/>
    </row>
    <row r="969" spans="9:9" x14ac:dyDescent="0.2">
      <c r="I969" s="60"/>
    </row>
    <row r="970" spans="9:9" x14ac:dyDescent="0.2">
      <c r="I970" s="60"/>
    </row>
    <row r="971" spans="9:9" x14ac:dyDescent="0.2">
      <c r="I971" s="60"/>
    </row>
    <row r="972" spans="9:9" x14ac:dyDescent="0.2">
      <c r="I972" s="60"/>
    </row>
    <row r="973" spans="9:9" x14ac:dyDescent="0.2">
      <c r="I973" s="60"/>
    </row>
    <row r="974" spans="9:9" x14ac:dyDescent="0.2">
      <c r="I974" s="60"/>
    </row>
    <row r="975" spans="9:9" x14ac:dyDescent="0.2">
      <c r="I975" s="60"/>
    </row>
    <row r="976" spans="9:9" x14ac:dyDescent="0.2">
      <c r="I976" s="60"/>
    </row>
    <row r="977" spans="9:9" x14ac:dyDescent="0.2">
      <c r="I977" s="60"/>
    </row>
    <row r="978" spans="9:9" x14ac:dyDescent="0.2">
      <c r="I978" s="60"/>
    </row>
    <row r="979" spans="9:9" x14ac:dyDescent="0.2">
      <c r="I979" s="60"/>
    </row>
    <row r="980" spans="9:9" x14ac:dyDescent="0.2">
      <c r="I980" s="60"/>
    </row>
    <row r="981" spans="9:9" x14ac:dyDescent="0.2">
      <c r="I981" s="60"/>
    </row>
    <row r="982" spans="9:9" x14ac:dyDescent="0.2">
      <c r="I982" s="60"/>
    </row>
    <row r="983" spans="9:9" x14ac:dyDescent="0.2">
      <c r="I983" s="60"/>
    </row>
    <row r="984" spans="9:9" x14ac:dyDescent="0.2">
      <c r="I984" s="60"/>
    </row>
    <row r="985" spans="9:9" x14ac:dyDescent="0.2">
      <c r="I985" s="60"/>
    </row>
    <row r="986" spans="9:9" x14ac:dyDescent="0.2">
      <c r="I986" s="60"/>
    </row>
    <row r="987" spans="9:9" x14ac:dyDescent="0.2">
      <c r="I987" s="60"/>
    </row>
    <row r="988" spans="9:9" x14ac:dyDescent="0.2">
      <c r="I988" s="60"/>
    </row>
    <row r="989" spans="9:9" x14ac:dyDescent="0.2">
      <c r="I989" s="60"/>
    </row>
    <row r="990" spans="9:9" x14ac:dyDescent="0.2">
      <c r="I990" s="60"/>
    </row>
    <row r="991" spans="9:9" x14ac:dyDescent="0.2">
      <c r="I991" s="60"/>
    </row>
    <row r="992" spans="9:9" x14ac:dyDescent="0.2">
      <c r="I992" s="60"/>
    </row>
    <row r="993" spans="9:9" x14ac:dyDescent="0.2">
      <c r="I993" s="60"/>
    </row>
    <row r="994" spans="9:9" x14ac:dyDescent="0.2">
      <c r="I994" s="60"/>
    </row>
    <row r="995" spans="9:9" x14ac:dyDescent="0.2">
      <c r="I995" s="60"/>
    </row>
    <row r="996" spans="9:9" x14ac:dyDescent="0.2">
      <c r="I996" s="60"/>
    </row>
    <row r="997" spans="9:9" x14ac:dyDescent="0.2">
      <c r="I997" s="60"/>
    </row>
    <row r="998" spans="9:9" x14ac:dyDescent="0.2">
      <c r="I998" s="60"/>
    </row>
    <row r="999" spans="9:9" x14ac:dyDescent="0.2">
      <c r="I999" s="60"/>
    </row>
    <row r="1000" spans="9:9" x14ac:dyDescent="0.2">
      <c r="I1000" s="60"/>
    </row>
    <row r="1001" spans="9:9" x14ac:dyDescent="0.2">
      <c r="I1001" s="60"/>
    </row>
    <row r="1002" spans="9:9" x14ac:dyDescent="0.2">
      <c r="I1002" s="60"/>
    </row>
    <row r="1003" spans="9:9" x14ac:dyDescent="0.2">
      <c r="I1003" s="60"/>
    </row>
    <row r="1004" spans="9:9" x14ac:dyDescent="0.2">
      <c r="I1004" s="60"/>
    </row>
    <row r="1005" spans="9:9" x14ac:dyDescent="0.2">
      <c r="I1005" s="60"/>
    </row>
    <row r="1006" spans="9:9" x14ac:dyDescent="0.2">
      <c r="I1006" s="60"/>
    </row>
    <row r="1007" spans="9:9" x14ac:dyDescent="0.2">
      <c r="I1007" s="60"/>
    </row>
    <row r="1008" spans="9:9" x14ac:dyDescent="0.2">
      <c r="I1008" s="60"/>
    </row>
    <row r="1009" spans="9:9" x14ac:dyDescent="0.2">
      <c r="I1009" s="60"/>
    </row>
    <row r="1010" spans="9:9" x14ac:dyDescent="0.2">
      <c r="I1010" s="60"/>
    </row>
    <row r="1011" spans="9:9" x14ac:dyDescent="0.2">
      <c r="I1011" s="60"/>
    </row>
    <row r="1012" spans="9:9" x14ac:dyDescent="0.2">
      <c r="I1012" s="60"/>
    </row>
    <row r="1013" spans="9:9" x14ac:dyDescent="0.2">
      <c r="I1013" s="60"/>
    </row>
    <row r="1014" spans="9:9" x14ac:dyDescent="0.2">
      <c r="I1014" s="60"/>
    </row>
    <row r="1015" spans="9:9" x14ac:dyDescent="0.2">
      <c r="I1015" s="60"/>
    </row>
    <row r="1016" spans="9:9" x14ac:dyDescent="0.2">
      <c r="I1016" s="60"/>
    </row>
    <row r="1017" spans="9:9" x14ac:dyDescent="0.2">
      <c r="I1017" s="60"/>
    </row>
    <row r="1018" spans="9:9" x14ac:dyDescent="0.2">
      <c r="I1018" s="60"/>
    </row>
    <row r="1019" spans="9:9" x14ac:dyDescent="0.2">
      <c r="I1019" s="60"/>
    </row>
    <row r="1020" spans="9:9" x14ac:dyDescent="0.2">
      <c r="I1020" s="60"/>
    </row>
    <row r="1021" spans="9:9" x14ac:dyDescent="0.2">
      <c r="I1021" s="60"/>
    </row>
    <row r="1022" spans="9:9" x14ac:dyDescent="0.2">
      <c r="I1022" s="60"/>
    </row>
    <row r="1023" spans="9:9" x14ac:dyDescent="0.2">
      <c r="I1023" s="60"/>
    </row>
    <row r="1024" spans="9:9" x14ac:dyDescent="0.2">
      <c r="I1024" s="60"/>
    </row>
    <row r="1025" spans="9:9" x14ac:dyDescent="0.2">
      <c r="I1025" s="60"/>
    </row>
    <row r="1026" spans="9:9" x14ac:dyDescent="0.2">
      <c r="I1026" s="60"/>
    </row>
    <row r="1027" spans="9:9" x14ac:dyDescent="0.2">
      <c r="I1027" s="60"/>
    </row>
    <row r="1028" spans="9:9" x14ac:dyDescent="0.2">
      <c r="I1028" s="60"/>
    </row>
    <row r="1029" spans="9:9" x14ac:dyDescent="0.2">
      <c r="I1029" s="60"/>
    </row>
    <row r="1030" spans="9:9" x14ac:dyDescent="0.2">
      <c r="I1030" s="60"/>
    </row>
    <row r="1031" spans="9:9" x14ac:dyDescent="0.2">
      <c r="I1031" s="60"/>
    </row>
    <row r="1032" spans="9:9" x14ac:dyDescent="0.2">
      <c r="I1032" s="60"/>
    </row>
    <row r="1033" spans="9:9" x14ac:dyDescent="0.2">
      <c r="I1033" s="60"/>
    </row>
    <row r="1034" spans="9:9" x14ac:dyDescent="0.2">
      <c r="I1034" s="60"/>
    </row>
    <row r="1035" spans="9:9" x14ac:dyDescent="0.2">
      <c r="I1035" s="60"/>
    </row>
    <row r="1036" spans="9:9" x14ac:dyDescent="0.2">
      <c r="I1036" s="60"/>
    </row>
    <row r="1037" spans="9:9" x14ac:dyDescent="0.2">
      <c r="I1037" s="60"/>
    </row>
    <row r="1038" spans="9:9" x14ac:dyDescent="0.2">
      <c r="I1038" s="60"/>
    </row>
    <row r="1039" spans="9:9" x14ac:dyDescent="0.2">
      <c r="I1039" s="60"/>
    </row>
    <row r="1040" spans="9:9" x14ac:dyDescent="0.2">
      <c r="I1040" s="60"/>
    </row>
    <row r="1041" spans="9:9" x14ac:dyDescent="0.2">
      <c r="I1041" s="60"/>
    </row>
    <row r="1042" spans="9:9" x14ac:dyDescent="0.2">
      <c r="I1042" s="60"/>
    </row>
    <row r="1043" spans="9:9" x14ac:dyDescent="0.2">
      <c r="I1043" s="60"/>
    </row>
    <row r="1044" spans="9:9" x14ac:dyDescent="0.2">
      <c r="I1044" s="60"/>
    </row>
    <row r="1045" spans="9:9" x14ac:dyDescent="0.2">
      <c r="I1045" s="60"/>
    </row>
    <row r="1046" spans="9:9" x14ac:dyDescent="0.2">
      <c r="I1046" s="60"/>
    </row>
    <row r="1047" spans="9:9" x14ac:dyDescent="0.2">
      <c r="I1047" s="60"/>
    </row>
    <row r="1048" spans="9:9" x14ac:dyDescent="0.2">
      <c r="I1048" s="60"/>
    </row>
    <row r="1049" spans="9:9" x14ac:dyDescent="0.2">
      <c r="I1049" s="60"/>
    </row>
    <row r="1050" spans="9:9" x14ac:dyDescent="0.2">
      <c r="I1050" s="60"/>
    </row>
    <row r="1051" spans="9:9" x14ac:dyDescent="0.2">
      <c r="I1051" s="60"/>
    </row>
    <row r="1052" spans="9:9" x14ac:dyDescent="0.2">
      <c r="I1052" s="60"/>
    </row>
    <row r="1053" spans="9:9" x14ac:dyDescent="0.2">
      <c r="I1053" s="60"/>
    </row>
  </sheetData>
  <sheetProtection algorithmName="SHA-512" hashValue="pP94e8eLg7xtdMcHYDsF8hYqxtBQgWmNvyt86l0wmkETDbP5YoWSOUsvjiSyaI+SdlBaCf4axAdxrkx92C+SNQ==" saltValue="UEFiTip4Xlpt72joltFH8w==" spinCount="100000" sheet="1" selectLockedCells="1"/>
  <mergeCells count="41">
    <mergeCell ref="B24:H24"/>
    <mergeCell ref="B1:H4"/>
    <mergeCell ref="B30:C30"/>
    <mergeCell ref="G30:H30"/>
    <mergeCell ref="E30:F30"/>
    <mergeCell ref="B22:H22"/>
    <mergeCell ref="B11:H11"/>
    <mergeCell ref="B12:H12"/>
    <mergeCell ref="B23:H23"/>
    <mergeCell ref="B26:H26"/>
    <mergeCell ref="B28:H28"/>
    <mergeCell ref="B27:H27"/>
    <mergeCell ref="B29:H29"/>
    <mergeCell ref="B25:H25"/>
    <mergeCell ref="G13:H13"/>
    <mergeCell ref="B20:H20"/>
    <mergeCell ref="G21:H21"/>
    <mergeCell ref="B9:C9"/>
    <mergeCell ref="B10:C10"/>
    <mergeCell ref="B13:C13"/>
    <mergeCell ref="D10:H10"/>
    <mergeCell ref="B19:C19"/>
    <mergeCell ref="E19:H19"/>
    <mergeCell ref="B16:C16"/>
    <mergeCell ref="E16:H16"/>
    <mergeCell ref="B17:C17"/>
    <mergeCell ref="D17:H17"/>
    <mergeCell ref="B18:C18"/>
    <mergeCell ref="D18:H18"/>
    <mergeCell ref="B6:F6"/>
    <mergeCell ref="B5:F5"/>
    <mergeCell ref="D15:H15"/>
    <mergeCell ref="B15:C15"/>
    <mergeCell ref="D9:H9"/>
    <mergeCell ref="D14:H14"/>
    <mergeCell ref="B7:H7"/>
    <mergeCell ref="G8:H8"/>
    <mergeCell ref="B8:C8"/>
    <mergeCell ref="D8:E8"/>
    <mergeCell ref="E13:F13"/>
    <mergeCell ref="B14:C14"/>
  </mergeCells>
  <phoneticPr fontId="3" type="noConversion"/>
  <conditionalFormatting sqref="G13">
    <cfRule type="expression" dxfId="7" priority="1">
      <formula>$D$13=""</formula>
    </cfRule>
    <cfRule type="expression" dxfId="6" priority="8">
      <formula>$D$13="NO"</formula>
    </cfRule>
  </conditionalFormatting>
  <conditionalFormatting sqref="G14:G15">
    <cfRule type="expression" dxfId="5" priority="7">
      <formula>$D$13=""</formula>
    </cfRule>
  </conditionalFormatting>
  <conditionalFormatting sqref="E19:H19">
    <cfRule type="containsText" dxfId="4" priority="5" operator="containsText" text="not">
      <formula>NOT(ISERROR(SEARCH("not",E19)))</formula>
    </cfRule>
    <cfRule type="containsText" dxfId="3" priority="6" operator="containsText" text="is">
      <formula>NOT(ISERROR(SEARCH("is",E19)))</formula>
    </cfRule>
  </conditionalFormatting>
  <conditionalFormatting sqref="E16:H17">
    <cfRule type="containsText" dxfId="2" priority="3" operator="containsText" text="not">
      <formula>NOT(ISERROR(SEARCH("not",E16)))</formula>
    </cfRule>
    <cfRule type="containsText" dxfId="1" priority="4" operator="containsText" text="is">
      <formula>NOT(ISERROR(SEARCH("is",E16)))</formula>
    </cfRule>
  </conditionalFormatting>
  <conditionalFormatting sqref="G18">
    <cfRule type="expression" dxfId="0" priority="2">
      <formula>$D$13=""</formula>
    </cfRule>
  </conditionalFormatting>
  <dataValidations xWindow="1116" yWindow="722" count="24">
    <dataValidation allowBlank="1" showInputMessage="1" showErrorMessage="1" promptTitle="Explain" prompt="Enter N/A for initial calibration or follow instructions for all other requests._x000a__x000a_" sqref="B24 F24" xr:uid="{E3AE2312-9E39-4791-A72C-BFB24D0FB374}"/>
    <dataValidation allowBlank="1" showErrorMessage="1" promptTitle="Equipment use" prompt="Enter details of intended use of Equipment.  E.g. To inspect the light output of the L10 per MAPXXXX" sqref="E16:H16" xr:uid="{10E1DEF0-A5C6-4657-A497-F8679F59495D}"/>
    <dataValidation type="list" allowBlank="1" showErrorMessage="1" promptTitle="Equipment use" prompt="Enter details of intended use of Equipment.  E.g. To inspect the light output of the L10 per MAPXXXX" sqref="D16" xr:uid="{6D7CC61A-7A42-4505-868B-25CE3B000F81}">
      <formula1>$I$12:$I$14</formula1>
    </dataValidation>
    <dataValidation type="list" allowBlank="1" showInputMessage="1" showErrorMessage="1" sqref="D16 D19" xr:uid="{CFC44BD5-5403-49DC-B177-F19EED498F28}">
      <formula1>$I$12:$I$14</formula1>
    </dataValidation>
    <dataValidation type="list" allowBlank="1" showErrorMessage="1" promptTitle="Calibration Range " prompt="Enter the calibration range of the equipment, defined by the upper and lower limits in which the equipment can be certified to be calibrated including tolerances. See Equipment specifications. Enter N/A for Stryker equipment" sqref="D13" xr:uid="{9329728E-5E30-4959-A15F-52B87AD48C3B}">
      <formula1>"Yes, No, N/A"</formula1>
    </dataValidation>
    <dataValidation allowBlank="1" showErrorMessage="1" sqref="G21:H21" xr:uid="{021DC78D-901A-4178-A36C-79E15735007D}"/>
    <dataValidation type="list" allowBlank="1" showErrorMessage="1" promptTitle="Validation" prompt="Validation requiere per XXXX" sqref="D13" xr:uid="{830BC2EB-8C70-4B69-80B2-FAA79291972E}">
      <formula1>"Yes, No"</formula1>
    </dataValidation>
    <dataValidation allowBlank="1" showErrorMessage="1" promptTitle="Calibration Range " prompt="Enter the calibration range of the equipment, defined by the upper and lower limits in which the equipment can be certified to be calibrated including tolerances. See Equipment specifications. Enter N/A for Stryker equipment" sqref="G13:H13" xr:uid="{97A62652-E403-4042-BC41-215CC57CBCE9}"/>
    <dataValidation allowBlank="1" showInputMessage="1" showErrorMessage="1" promptTitle="Calibration Range " prompt="Enter the calibration range of the equipment, defined by the upper and lower limits in which the equipment can be certified to be calibrated including tolerances. See Equipment specifications. Enter N/A for Stryker equipment" sqref="G11:H12 E11:F13 D11:D12" xr:uid="{6E388B80-A388-4627-9C46-0F3AF4708802}"/>
    <dataValidation type="list" allowBlank="1" showInputMessage="1" showErrorMessage="1" promptTitle="Form Application " prompt="Select from drop Down List and follow instructions on next cell. " sqref="B23:H23" xr:uid="{3A5F3313-90D1-48D8-A231-3FBA0C21A64F}">
      <formula1>$M$3:$M$7</formula1>
    </dataValidation>
    <dataValidation allowBlank="1" showInputMessage="1" showErrorMessage="1" promptTitle="Model/Part Number" prompt="For Stryker product, enter part number as indicated in the drawing.  For other equipment, enter model number as described by the manufacturer." sqref="D9:H9" xr:uid="{2F5FB658-25DD-487C-A5ED-7B7EB53681A3}"/>
    <dataValidation allowBlank="1" showInputMessage="1" showErrorMessage="1" promptTitle="REV" prompt="Enter Calibration Assessment revision" sqref="H6" xr:uid="{0DF29926-A334-49F4-8B66-2BF705FCA4BE}"/>
    <dataValidation allowBlank="1" showInputMessage="1" showErrorMessage="1" promptTitle="Description" prompt="For Stryker equipment, enter description as described in the drawing.  For other equipment, enter description as described by the manufacturer." sqref="D10:H10" xr:uid="{4ED2B82A-AC70-4AEF-A057-95329CC5E562}"/>
    <dataValidation allowBlank="1" showInputMessage="1" showErrorMessage="1" promptTitle="Manufacturer" prompt="For all items made by or manufactured for Stryker, enter_x000a_   &quot;Stryker&quot;._x000a_" sqref="D8:E8" xr:uid="{F02EAE2D-0815-4E5B-B744-B12E4ACD0CE5}"/>
    <dataValidation type="list" allowBlank="1" promptTitle="General Location of equipment" prompt="Enter an appropriate location (Production includes all production units and service), (R&amp;D Includes all labs), (Other refers mainly to equipment not in Endoscopy)" sqref="C21" xr:uid="{69E18E1A-386A-4124-BE37-FA8CA631E45E}">
      <formula1>$J$30:$J$34</formula1>
    </dataValidation>
    <dataValidation type="whole" showInputMessage="1" showErrorMessage="1" errorTitle="Correct" error="ENTER THE CORRECT 5 DIGIT CAL#" promptTitle="CAL#" prompt="                       Enter the 5 digit calibration number.                                                  _x000a_" sqref="H5" xr:uid="{A2C88689-952B-464D-8612-DA264792A8A6}">
      <formula1>10000</formula1>
      <formula2>99999</formula2>
    </dataValidation>
    <dataValidation allowBlank="1" showInputMessage="1" showErrorMessage="1" promptTitle="S/N" prompt="For items with NO S/N Enter N/A_x000a__x000a_* If form is for Calibration Not Require and you are assessing multiple of the same items enter “Various”_x000a_" sqref="G8" xr:uid="{FC0FFA2F-2C88-49D4-896F-100F15A02077}"/>
    <dataValidation type="list" allowBlank="1" promptTitle="Department" prompt="Select an appropriate department from the drop down list where equipment Will be  use.  If a specific department is not available in the drop down list, enter it manually." sqref="E21" xr:uid="{14F72CA5-0EB9-430F-926D-832A1774C94D}">
      <formula1>$K$36:$K$64</formula1>
    </dataValidation>
    <dataValidation allowBlank="1" showInputMessage="1" showErrorMessage="1" prompt="Enter required information per above instructions" sqref="B28" xr:uid="{4E128330-E228-4871-8CD2-ADD51A07389A}"/>
    <dataValidation type="list" allowBlank="1" showInputMessage="1" showErrorMessage="1" promptTitle="Calibration Require" prompt="Enter Calibration Required or Calibration Not Required from the drop down list and select equipment type for Calibration Required or  justification for Calibration Not Required below. " sqref="B26:H26" xr:uid="{7CA3389C-3926-4D91-BD85-1C9A26212C1C}">
      <formula1>CALIBRATION</formula1>
    </dataValidation>
    <dataValidation type="list" allowBlank="1" showInputMessage="1" showErrorMessage="1" promptTitle="Frequency" prompt="How often is equipment used?_x000a_Enter N/A for calibration not requiere" sqref="D30" xr:uid="{615C0BF8-67A7-493C-B0FD-0CB9AAD14364}">
      <formula1>$I$47:$I$50</formula1>
    </dataValidation>
    <dataValidation type="list" allowBlank="1" showInputMessage="1" prompt="Initial calibration interval should not exceed 12 Months if equipment is used frequently._x000a_Enter N/A for calibration not require_x000a_" sqref="G30:H30" xr:uid="{6E802394-9BF2-4E17-902D-63FBAFA5D214}">
      <formula1>$J$39:$J$43</formula1>
    </dataValidation>
    <dataValidation type="list" allowBlank="1" showInputMessage="1" showErrorMessage="1" prompt="Select Equipment type for Calibration Require_x000a_or calibration not require Justification for Calibration not Require " sqref="B27:H27" xr:uid="{4C5D64CC-1A1C-4E07-BD00-8D5B0EE9A5B2}">
      <formula1>INDIRECT(B26)</formula1>
    </dataValidation>
    <dataValidation type="list" allowBlank="1" showInputMessage="1" showErrorMessage="1" promptTitle="Validation" prompt="Validation requiere per XXXX" sqref="D16" xr:uid="{33AC83D0-6312-4244-AA31-F1F7BF9706DA}">
      <formula1>$I$12:$I$14</formula1>
    </dataValidation>
  </dataValidations>
  <printOptions horizontalCentered="1"/>
  <pageMargins left="0" right="0" top="0.5" bottom="0.5" header="0.3" footer="0.3"/>
  <pageSetup scale="8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43"/>
  <sheetViews>
    <sheetView showGridLines="0" zoomScale="110" zoomScaleNormal="110" workbookViewId="0">
      <selection activeCell="A28" sqref="A28"/>
    </sheetView>
  </sheetViews>
  <sheetFormatPr baseColWidth="10" defaultColWidth="9.1640625" defaultRowHeight="13" x14ac:dyDescent="0.15"/>
  <cols>
    <col min="1" max="1" width="51.6640625" style="1" customWidth="1"/>
    <col min="2" max="2" width="172.83203125" style="84" bestFit="1" customWidth="1"/>
    <col min="3" max="7" width="9.1640625" style="1"/>
    <col min="8" max="8" width="20.5" style="1" customWidth="1"/>
    <col min="9" max="16384" width="9.1640625" style="1"/>
  </cols>
  <sheetData>
    <row r="2" spans="1:2" ht="18" x14ac:dyDescent="0.15">
      <c r="A2" s="172" t="s">
        <v>62</v>
      </c>
      <c r="B2" s="173"/>
    </row>
    <row r="3" spans="1:2" ht="16" x14ac:dyDescent="0.15">
      <c r="A3" s="174" t="s">
        <v>74</v>
      </c>
      <c r="B3" s="175"/>
    </row>
    <row r="4" spans="1:2" x14ac:dyDescent="0.15">
      <c r="A4" s="176" t="s">
        <v>60</v>
      </c>
      <c r="B4" s="177"/>
    </row>
    <row r="5" spans="1:2" x14ac:dyDescent="0.15">
      <c r="A5" s="178"/>
      <c r="B5" s="179"/>
    </row>
    <row r="6" spans="1:2" ht="17" x14ac:dyDescent="0.15">
      <c r="A6" s="21" t="s">
        <v>0</v>
      </c>
      <c r="B6" s="80" t="s">
        <v>119</v>
      </c>
    </row>
    <row r="7" spans="1:2" ht="17" x14ac:dyDescent="0.15">
      <c r="A7" s="21" t="s">
        <v>75</v>
      </c>
      <c r="B7" s="80" t="s">
        <v>120</v>
      </c>
    </row>
    <row r="8" spans="1:2" ht="18" x14ac:dyDescent="0.15">
      <c r="A8" s="180" t="s">
        <v>36</v>
      </c>
      <c r="B8" s="181"/>
    </row>
    <row r="9" spans="1:2" ht="17" x14ac:dyDescent="0.15">
      <c r="A9" s="21" t="s">
        <v>76</v>
      </c>
      <c r="B9" s="80" t="s">
        <v>121</v>
      </c>
    </row>
    <row r="10" spans="1:2" ht="17" x14ac:dyDescent="0.15">
      <c r="A10" s="21" t="s">
        <v>105</v>
      </c>
      <c r="B10" s="80" t="s">
        <v>122</v>
      </c>
    </row>
    <row r="11" spans="1:2" ht="17" x14ac:dyDescent="0.15">
      <c r="A11" s="21" t="s">
        <v>78</v>
      </c>
      <c r="B11" s="81" t="s">
        <v>77</v>
      </c>
    </row>
    <row r="12" spans="1:2" ht="17" x14ac:dyDescent="0.15">
      <c r="A12" s="21" t="s">
        <v>79</v>
      </c>
      <c r="B12" s="80" t="s">
        <v>81</v>
      </c>
    </row>
    <row r="13" spans="1:2" ht="18" x14ac:dyDescent="0.15">
      <c r="A13" s="172" t="s">
        <v>117</v>
      </c>
      <c r="B13" s="173"/>
    </row>
    <row r="14" spans="1:2" ht="17" x14ac:dyDescent="0.15">
      <c r="A14" s="21" t="s">
        <v>110</v>
      </c>
      <c r="B14" s="80" t="s">
        <v>139</v>
      </c>
    </row>
    <row r="15" spans="1:2" ht="17" x14ac:dyDescent="0.15">
      <c r="A15" s="21" t="s">
        <v>118</v>
      </c>
      <c r="B15" s="80" t="s">
        <v>143</v>
      </c>
    </row>
    <row r="16" spans="1:2" ht="28" x14ac:dyDescent="0.15">
      <c r="A16" s="21" t="s">
        <v>80</v>
      </c>
      <c r="B16" s="85" t="s">
        <v>146</v>
      </c>
    </row>
    <row r="17" spans="1:2" ht="17" x14ac:dyDescent="0.15">
      <c r="A17" s="21" t="s">
        <v>140</v>
      </c>
      <c r="B17" s="80" t="s">
        <v>144</v>
      </c>
    </row>
    <row r="18" spans="1:2" ht="17" x14ac:dyDescent="0.15">
      <c r="A18" s="21" t="s">
        <v>136</v>
      </c>
      <c r="B18" s="80" t="s">
        <v>141</v>
      </c>
    </row>
    <row r="19" spans="1:2" ht="18" x14ac:dyDescent="0.15">
      <c r="A19" s="172" t="s">
        <v>54</v>
      </c>
      <c r="B19" s="173"/>
    </row>
    <row r="20" spans="1:2" ht="17" x14ac:dyDescent="0.15">
      <c r="A20" s="21" t="s">
        <v>83</v>
      </c>
      <c r="B20" s="80" t="s">
        <v>82</v>
      </c>
    </row>
    <row r="21" spans="1:2" ht="17" x14ac:dyDescent="0.15">
      <c r="A21" s="21" t="s">
        <v>84</v>
      </c>
      <c r="B21" s="80" t="s">
        <v>123</v>
      </c>
    </row>
    <row r="22" spans="1:2" ht="17" x14ac:dyDescent="0.15">
      <c r="A22" s="21" t="s">
        <v>85</v>
      </c>
      <c r="B22" s="80" t="s">
        <v>124</v>
      </c>
    </row>
    <row r="23" spans="1:2" ht="18" x14ac:dyDescent="0.15">
      <c r="A23" s="172" t="s">
        <v>2</v>
      </c>
      <c r="B23" s="173"/>
    </row>
    <row r="24" spans="1:2" ht="18" x14ac:dyDescent="0.15">
      <c r="A24" s="170" t="s">
        <v>100</v>
      </c>
      <c r="B24" s="171"/>
    </row>
    <row r="25" spans="1:2" ht="17" x14ac:dyDescent="0.15">
      <c r="A25" s="21" t="s">
        <v>87</v>
      </c>
      <c r="B25" s="80" t="s">
        <v>86</v>
      </c>
    </row>
    <row r="26" spans="1:2" ht="26" x14ac:dyDescent="0.15">
      <c r="A26" s="21" t="s">
        <v>88</v>
      </c>
      <c r="B26" s="86" t="s">
        <v>150</v>
      </c>
    </row>
    <row r="27" spans="1:2" ht="26" x14ac:dyDescent="0.15">
      <c r="A27" s="21" t="s">
        <v>89</v>
      </c>
      <c r="B27" s="86" t="s">
        <v>151</v>
      </c>
    </row>
    <row r="28" spans="1:2" ht="17" x14ac:dyDescent="0.15">
      <c r="A28" s="21" t="s">
        <v>125</v>
      </c>
      <c r="B28" s="82" t="s">
        <v>126</v>
      </c>
    </row>
    <row r="29" spans="1:2" ht="18" x14ac:dyDescent="0.15">
      <c r="A29" s="172" t="s">
        <v>3</v>
      </c>
      <c r="B29" s="173"/>
    </row>
    <row r="30" spans="1:2" ht="18" x14ac:dyDescent="0.15">
      <c r="A30" s="172" t="s">
        <v>101</v>
      </c>
      <c r="B30" s="173"/>
    </row>
    <row r="31" spans="1:2" ht="18" x14ac:dyDescent="0.15">
      <c r="A31" s="170" t="s">
        <v>90</v>
      </c>
      <c r="B31" s="171"/>
    </row>
    <row r="32" spans="1:2" ht="17" x14ac:dyDescent="0.15">
      <c r="A32" s="21" t="s">
        <v>92</v>
      </c>
      <c r="B32" s="82" t="s">
        <v>91</v>
      </c>
    </row>
    <row r="33" spans="1:2" ht="17" x14ac:dyDescent="0.15">
      <c r="A33" s="21" t="s">
        <v>103</v>
      </c>
      <c r="B33" s="82" t="s">
        <v>102</v>
      </c>
    </row>
    <row r="34" spans="1:2" ht="17" x14ac:dyDescent="0.15">
      <c r="A34" s="21" t="s">
        <v>104</v>
      </c>
      <c r="B34" s="83" t="s">
        <v>147</v>
      </c>
    </row>
    <row r="35" spans="1:2" ht="17" x14ac:dyDescent="0.15">
      <c r="A35" s="21" t="s">
        <v>127</v>
      </c>
      <c r="B35" s="82" t="s">
        <v>93</v>
      </c>
    </row>
    <row r="36" spans="1:2" ht="18" x14ac:dyDescent="0.15">
      <c r="A36" s="172" t="s">
        <v>95</v>
      </c>
      <c r="B36" s="173"/>
    </row>
    <row r="37" spans="1:2" ht="18" x14ac:dyDescent="0.15">
      <c r="A37" s="170" t="s">
        <v>94</v>
      </c>
      <c r="B37" s="171"/>
    </row>
    <row r="38" spans="1:2" ht="17" x14ac:dyDescent="0.15">
      <c r="A38" s="21" t="s">
        <v>106</v>
      </c>
      <c r="B38" s="82" t="s">
        <v>23</v>
      </c>
    </row>
    <row r="39" spans="1:2" ht="17" x14ac:dyDescent="0.15">
      <c r="A39" s="21" t="s">
        <v>107</v>
      </c>
      <c r="B39" s="82" t="s">
        <v>25</v>
      </c>
    </row>
    <row r="40" spans="1:2" ht="17" x14ac:dyDescent="0.15">
      <c r="A40" s="21" t="s">
        <v>108</v>
      </c>
      <c r="B40" s="82" t="s">
        <v>20</v>
      </c>
    </row>
    <row r="41" spans="1:2" ht="18" x14ac:dyDescent="0.15">
      <c r="A41" s="172" t="s">
        <v>61</v>
      </c>
      <c r="B41" s="173"/>
    </row>
    <row r="42" spans="1:2" ht="17" x14ac:dyDescent="0.15">
      <c r="A42" s="21" t="s">
        <v>97</v>
      </c>
      <c r="B42" s="82" t="s">
        <v>96</v>
      </c>
    </row>
    <row r="43" spans="1:2" ht="17" x14ac:dyDescent="0.15">
      <c r="A43" s="21" t="s">
        <v>99</v>
      </c>
      <c r="B43" s="82" t="s">
        <v>98</v>
      </c>
    </row>
  </sheetData>
  <sheetProtection algorithmName="SHA-512" hashValue="JkLbLcvC1yg8VG7YD6VlMIfxYkhfR116l4ssFPDdy0CvhQTIe5Sw+XGTExDC5mRzkqJ5004L5N+Tvg4w7zfsxA==" saltValue="JsezFexLQRKO1BXcZzN/sA==" spinCount="100000" sheet="1" selectLockedCells="1" selectUnlockedCells="1"/>
  <mergeCells count="14">
    <mergeCell ref="A37:B37"/>
    <mergeCell ref="A41:B41"/>
    <mergeCell ref="A2:B2"/>
    <mergeCell ref="A3:B3"/>
    <mergeCell ref="A4:B5"/>
    <mergeCell ref="A8:B8"/>
    <mergeCell ref="A13:B13"/>
    <mergeCell ref="A19:B19"/>
    <mergeCell ref="A23:B23"/>
    <mergeCell ref="A29:B29"/>
    <mergeCell ref="A30:B30"/>
    <mergeCell ref="A31:B31"/>
    <mergeCell ref="A36:B36"/>
    <mergeCell ref="A24:B2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Calibration Assessment Form</vt:lpstr>
      <vt:lpstr>Cal Assessment Form (Guidance)</vt:lpstr>
      <vt:lpstr>CALIBRATION</vt:lpstr>
      <vt:lpstr>Calibration_Not_Required</vt:lpstr>
      <vt:lpstr>Calibration_Required</vt:lpstr>
      <vt:lpstr>Not_Applicable</vt:lpstr>
      <vt:lpstr>'Calibration Assessment Form'!Print_Area</vt:lpstr>
    </vt:vector>
  </TitlesOfParts>
  <Company>INFRAWARE,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James Hotchkiss</cp:lastModifiedBy>
  <cp:lastPrinted>2024-03-06T17:56:36Z</cp:lastPrinted>
  <dcterms:created xsi:type="dcterms:W3CDTF">2010-06-21T07:17:39Z</dcterms:created>
  <dcterms:modified xsi:type="dcterms:W3CDTF">2025-05-04T01:37:04Z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